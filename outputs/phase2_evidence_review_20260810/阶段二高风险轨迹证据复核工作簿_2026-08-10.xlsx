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35bbc054e74981" /></Relationships>
</file>

<file path=xl/workbook.xml><?xml version="1.0" encoding="utf-8"?>
<x:workbook xmlns:x="http://schemas.openxmlformats.org/spreadsheetml/2006/main">
  <x:sheets>
    <x:sheet xmlns:r="http://schemas.openxmlformats.org/officeDocument/2006/relationships" name="复核明细" sheetId="1" r:id="R9c6b60b5765e4a58"/>
    <x:sheet xmlns:r="http://schemas.openxmlformats.org/officeDocument/2006/relationships" name="复核汇总" sheetId="2" r:id="Rdc18135931664a89"/>
    <x:sheet xmlns:r="http://schemas.openxmlformats.org/officeDocument/2006/relationships" name="复核说明" sheetId="3" r:id="R3c33cbe66918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0"/>
  </x:numFmts>
  <x:fonts count="11">
    <x:font>
      <x:sz val="11"/>
      <x:name val="Carlito"/>
    </x:font>
    <x:font>
      <x:sz val="10"/>
      <x:color rgb="FF1F2937"/>
      <x:name val="Microsoft YaHei"/>
    </x:font>
    <x:font>
      <x:b/>
      <x:sz val="10"/>
      <x:color rgb="FFFFFFFF"/>
      <x:name val="Microsoft YaHei"/>
    </x:font>
    <x:font>
      <x:b/>
      <x:sz val="20"/>
      <x:color rgb="FFFFFFFF"/>
      <x:name val="Microsoft YaHei"/>
    </x:font>
    <x:font>
      <x:sz val="11"/>
      <x:color rgb="FF5B6573"/>
      <x:name val="Microsoft YaHei"/>
    </x:font>
    <x:font>
      <x:sz val="11"/>
      <x:name val="Microsoft YaHei"/>
    </x:font>
    <x:font>
      <x:b/>
      <x:sz val="11"/>
      <x:color rgb="FFFFFFFF"/>
      <x:name val="Microsoft YaHei"/>
    </x:font>
    <x:font>
      <x:b/>
      <x:sz val="14"/>
      <x:color rgb="FF17365D"/>
      <x:name val="Microsoft YaHei"/>
    </x:font>
    <x:font>
      <x:sz val="10"/>
      <x:name val="Microsoft YaHei"/>
    </x:font>
    <x:font>
      <x:sz val="11"/>
      <x:color rgb="FF7F6000"/>
      <x:name val="Microsoft YaHei"/>
    </x:font>
    <x:font>
      <x:sz val="12"/>
      <x:color rgb="FF375623"/>
      <x:name val="Microsoft YaHei"/>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s>
  <x:borders count="40">
    <x:border/>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FFFFF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rder>
    <x:border>
      <x:right style="medium">
        <x:color rgb="FFBF9000"/>
      </x:right>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rder>
    <x:border>
      <x:right style="medium">
        <x:color rgb="FFBF9000"/>
      </x:right>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
      <x:left style="medium">
        <x:color rgb="FF70AD47"/>
      </x:left>
      <x:top style="medium">
        <x:color rgb="FF70AD47"/>
      </x:top>
    </x:border>
    <x:border>
      <x:top style="medium">
        <x:color rgb="FF70AD47"/>
      </x:top>
    </x:border>
    <x:border>
      <x:right style="medium">
        <x:color rgb="FF70AD47"/>
      </x:right>
      <x:top style="medium">
        <x:color rgb="FF70AD47"/>
      </x:top>
    </x:border>
    <x:border>
      <x:left style="medium">
        <x:color rgb="FF70AD47"/>
      </x:left>
    </x:border>
    <x:border>
      <x:right style="medium">
        <x:color rgb="FF70AD47"/>
      </x:right>
    </x:border>
    <x:border>
      <x:left style="medium">
        <x:color rgb="FF70AD47"/>
      </x:left>
      <x:bottom style="medium">
        <x:color rgb="FF70AD47"/>
      </x:bottom>
    </x:border>
    <x:border>
      <x:bottom style="medium">
        <x:color rgb="FF70AD47"/>
      </x:bottom>
    </x:border>
    <x:border>
      <x:right style="medium">
        <x:color rgb="FF70AD47"/>
      </x:right>
      <x:bottom style="medium">
        <x:color rgb="FF70AD47"/>
      </x:bottom>
    </x:border>
    <x:border>
      <x:left style="medium">
        <x:color rgb="FF70AD47"/>
      </x:left>
      <x:top style="medium">
        <x:color rgb="FF70AD47"/>
      </x:top>
    </x:border>
    <x:border>
      <x:top style="medium">
        <x:color rgb="FF70AD47"/>
      </x:top>
    </x:border>
    <x:border>
      <x:right style="medium">
        <x:color rgb="FF70AD47"/>
      </x:right>
      <x:top style="medium">
        <x:color rgb="FF70AD47"/>
      </x:top>
    </x:border>
    <x:border>
      <x:left style="medium">
        <x:color rgb="FF70AD47"/>
      </x:left>
    </x:border>
    <x:border>
      <x:right style="medium">
        <x:color rgb="FF70AD47"/>
      </x:right>
    </x:border>
    <x:border>
      <x:left style="medium">
        <x:color rgb="FF70AD47"/>
      </x:left>
      <x:bottom style="medium">
        <x:color rgb="FF70AD47"/>
      </x:bottom>
    </x:border>
    <x:border>
      <x:bottom style="medium">
        <x:color rgb="FF70AD47"/>
      </x:bottom>
    </x:border>
    <x:border>
      <x:right style="medium">
        <x:color rgb="FF70AD47"/>
      </x:right>
      <x:bottom style="medium">
        <x:color rgb="FF70AD47"/>
      </x:bottom>
    </x:border>
  </x:borders>
  <x:cellStyleXfs count="1">
    <x:xf numFmtId="0" fontId="0" fillId="0" borderId="0"/>
  </x:cellStyleXfs>
  <x:cellXfs count="17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2" borderId="2" xfId="0" applyNumberFormat="1" applyFont="1" applyFill="1" applyBorder="1" applyAlignment="1">
      <x:alignment vertical="top"/>
    </x:xf>
    <x:xf numFmtId="0" fontId="1" fillId="2" borderId="3"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200" fontId="1" fillId="0" borderId="2" xfId="0" applyNumberFormat="1" applyFont="1" applyFill="1" applyBorder="1" applyAlignment="1">
      <x:alignment vertical="top"/>
    </x:xf>
    <x:xf numFmtId="200" fontId="1" fillId="0" borderId="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7" fillId="3" borderId="6" xfId="0" applyNumberFormat="1" applyFont="1" applyFill="1" applyBorder="1"/>
    <x:xf numFmtId="0" fontId="7" fillId="3" borderId="7" xfId="0" applyNumberFormat="1" applyFont="1" applyFill="1" applyBorder="1"/>
    <x:xf numFmtId="201" fontId="7" fillId="3" borderId="6" xfId="0" applyNumberFormat="1" applyFont="1" applyFill="1" applyBorder="1"/>
    <x:xf numFmtId="201" fontId="7" fillId="3" borderId="7" xfId="0" applyNumberFormat="1" applyFont="1" applyFill="1" applyBorder="1"/>
    <x:xf numFmtId="201" fontId="7" fillId="3" borderId="6" xfId="0" applyNumberFormat="1" applyFont="1" applyFill="1" applyBorder="1" applyAlignment="1">
      <x:alignment horizontal="center"/>
    </x:xf>
    <x:xf numFmtId="201" fontId="7" fillId="3" borderId="7" xfId="0" applyNumberFormat="1" applyFont="1" applyFill="1" applyBorder="1" applyAlignment="1">
      <x:alignment horizontal="center"/>
    </x:xf>
    <x:xf numFmtId="0" fontId="8" fillId="0" borderId="0" xfId="0" applyNumberFormat="1" applyFont="1" applyFill="1" applyBorder="1"/>
    <x:xf numFmtId="0" fontId="8" fillId="0" borderId="1" xfId="0" applyNumberFormat="1" applyFont="1" applyFill="1" applyBorder="1"/>
    <x:xf numFmtId="0" fontId="8" fillId="0" borderId="6" xfId="0" applyNumberFormat="1" applyFont="1" applyFill="1" applyBorder="1"/>
    <x:xf numFmtId="0" fontId="8" fillId="0" borderId="7" xfId="0" applyNumberFormat="1" applyFont="1" applyFill="1" applyBorder="1"/>
    <x:xf numFmtId="0" fontId="8" fillId="4" borderId="6" xfId="0" applyNumberFormat="1" applyFont="1" applyFill="1" applyBorder="1"/>
    <x:xf numFmtId="0" fontId="8" fillId="4" borderId="7" xfId="0" applyNumberFormat="1" applyFont="1" applyFill="1" applyBorder="1"/>
    <x:xf numFmtId="0" fontId="2" fillId="4" borderId="6" xfId="0" applyNumberFormat="1" applyFont="1" applyFill="1" applyBorder="1"/>
    <x:xf numFmtId="0" fontId="2" fillId="4" borderId="7"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9" fillId="5" borderId="0" xfId="0" applyNumberFormat="1" applyFont="1" applyFill="1" applyBorder="1"/>
    <x:xf numFmtId="0" fontId="9" fillId="5" borderId="1" xfId="0" applyNumberFormat="1" applyFont="1" applyFill="1" applyBorder="1"/>
    <x:xf numFmtId="0" fontId="9" fillId="5" borderId="8" xfId="0" applyNumberFormat="1" applyFont="1" applyFill="1" applyBorder="1"/>
    <x:xf numFmtId="0" fontId="9" fillId="5" borderId="9" xfId="0" applyNumberFormat="1" applyFont="1" applyFill="1" applyBorder="1"/>
    <x:xf numFmtId="0" fontId="9" fillId="5" borderId="10" xfId="0" applyNumberFormat="1" applyFont="1" applyFill="1" applyBorder="1"/>
    <x:xf numFmtId="0" fontId="9" fillId="5" borderId="11" xfId="0" applyNumberFormat="1" applyFont="1" applyFill="1" applyBorder="1"/>
    <x:xf numFmtId="0" fontId="9" fillId="5" borderId="12" xfId="0" applyNumberFormat="1" applyFont="1" applyFill="1" applyBorder="1"/>
    <x:xf numFmtId="0" fontId="9" fillId="5" borderId="13" xfId="0" applyNumberFormat="1" applyFont="1" applyFill="1" applyBorder="1"/>
    <x:xf numFmtId="0" fontId="9" fillId="5" borderId="14" xfId="0" applyNumberFormat="1" applyFont="1" applyFill="1" applyBorder="1"/>
    <x:xf numFmtId="0" fontId="9" fillId="5" borderId="15" xfId="0" applyNumberFormat="1" applyFont="1" applyFill="1" applyBorder="1"/>
    <x:xf numFmtId="0" fontId="9" fillId="5" borderId="16" xfId="0" applyNumberFormat="1" applyFont="1" applyFill="1" applyBorder="1"/>
    <x:xf numFmtId="0" fontId="9" fillId="5" borderId="17" xfId="0" applyNumberFormat="1" applyFont="1" applyFill="1" applyBorder="1"/>
    <x:xf numFmtId="0" fontId="9" fillId="5" borderId="18" xfId="0" applyNumberFormat="1" applyFont="1" applyFill="1" applyBorder="1"/>
    <x:xf numFmtId="0" fontId="9" fillId="5" borderId="19" xfId="0" applyNumberFormat="1" applyFont="1" applyFill="1" applyBorder="1"/>
    <x:xf numFmtId="0" fontId="9" fillId="5" borderId="20" xfId="0" applyNumberFormat="1" applyFont="1" applyFill="1" applyBorder="1"/>
    <x:xf numFmtId="0" fontId="9" fillId="5" borderId="21" xfId="0" applyNumberFormat="1" applyFont="1" applyFill="1" applyBorder="1"/>
    <x:xf numFmtId="0" fontId="9" fillId="5" borderId="22" xfId="0" applyNumberFormat="1" applyFont="1" applyFill="1" applyBorder="1"/>
    <x:xf numFmtId="0" fontId="9" fillId="5" borderId="23" xfId="0" applyNumberFormat="1" applyFont="1" applyFill="1" applyBorder="1"/>
    <x:xf numFmtId="0" fontId="9" fillId="5" borderId="8" xfId="0" applyNumberFormat="1" applyFont="1" applyFill="1" applyBorder="1" applyAlignment="1">
      <x:alignment wrapText="1"/>
    </x:xf>
    <x:xf numFmtId="0" fontId="9" fillId="5" borderId="9" xfId="0" applyNumberFormat="1" applyFont="1" applyFill="1" applyBorder="1" applyAlignment="1">
      <x:alignment wrapText="1"/>
    </x:xf>
    <x:xf numFmtId="0" fontId="9" fillId="5" borderId="10" xfId="0" applyNumberFormat="1" applyFont="1" applyFill="1" applyBorder="1" applyAlignment="1">
      <x:alignment wrapText="1"/>
    </x:xf>
    <x:xf numFmtId="0" fontId="9" fillId="5" borderId="11" xfId="0" applyNumberFormat="1" applyFont="1" applyFill="1" applyBorder="1" applyAlignment="1">
      <x:alignment wrapText="1"/>
    </x:xf>
    <x:xf numFmtId="0" fontId="9" fillId="5" borderId="0" xfId="0" applyNumberFormat="1" applyFont="1" applyFill="1" applyBorder="1" applyAlignment="1">
      <x:alignment wrapText="1"/>
    </x:xf>
    <x:xf numFmtId="0" fontId="9" fillId="5" borderId="12" xfId="0" applyNumberFormat="1" applyFont="1" applyFill="1" applyBorder="1" applyAlignment="1">
      <x:alignment wrapText="1"/>
    </x:xf>
    <x:xf numFmtId="0" fontId="9" fillId="5" borderId="13" xfId="0" applyNumberFormat="1" applyFont="1" applyFill="1" applyBorder="1" applyAlignment="1">
      <x:alignment wrapText="1"/>
    </x:xf>
    <x:xf numFmtId="0" fontId="9" fillId="5" borderId="14" xfId="0" applyNumberFormat="1" applyFont="1" applyFill="1" applyBorder="1" applyAlignment="1">
      <x:alignment wrapText="1"/>
    </x:xf>
    <x:xf numFmtId="0" fontId="9" fillId="5" borderId="15" xfId="0" applyNumberFormat="1" applyFont="1" applyFill="1" applyBorder="1" applyAlignment="1">
      <x:alignment wrapText="1"/>
    </x:xf>
    <x:xf numFmtId="0" fontId="9" fillId="5" borderId="16" xfId="0" applyNumberFormat="1" applyFont="1" applyFill="1" applyBorder="1" applyAlignment="1">
      <x:alignment wrapText="1"/>
    </x:xf>
    <x:xf numFmtId="0" fontId="9" fillId="5" borderId="17" xfId="0" applyNumberFormat="1" applyFont="1" applyFill="1" applyBorder="1" applyAlignment="1">
      <x:alignment wrapText="1"/>
    </x:xf>
    <x:xf numFmtId="0" fontId="9" fillId="5" borderId="18" xfId="0" applyNumberFormat="1" applyFont="1" applyFill="1" applyBorder="1" applyAlignment="1">
      <x:alignment wrapText="1"/>
    </x:xf>
    <x:xf numFmtId="0" fontId="9" fillId="5" borderId="19" xfId="0" applyNumberFormat="1" applyFont="1" applyFill="1" applyBorder="1" applyAlignment="1">
      <x:alignment wrapText="1"/>
    </x:xf>
    <x:xf numFmtId="0" fontId="9" fillId="5" borderId="1" xfId="0" applyNumberFormat="1" applyFont="1" applyFill="1" applyBorder="1" applyAlignment="1">
      <x:alignment wrapText="1"/>
    </x:xf>
    <x:xf numFmtId="0" fontId="9" fillId="5" borderId="20" xfId="0" applyNumberFormat="1" applyFont="1" applyFill="1" applyBorder="1" applyAlignment="1">
      <x:alignment wrapText="1"/>
    </x:xf>
    <x:xf numFmtId="0" fontId="9" fillId="5" borderId="21" xfId="0" applyNumberFormat="1" applyFont="1" applyFill="1" applyBorder="1" applyAlignment="1">
      <x:alignment wrapText="1"/>
    </x:xf>
    <x:xf numFmtId="0" fontId="9" fillId="5" borderId="22" xfId="0" applyNumberFormat="1" applyFont="1" applyFill="1" applyBorder="1" applyAlignment="1">
      <x:alignment wrapText="1"/>
    </x:xf>
    <x:xf numFmtId="0" fontId="9" fillId="5" borderId="23" xfId="0" applyNumberFormat="1" applyFont="1" applyFill="1" applyBorder="1" applyAlignment="1">
      <x:alignment wrapText="1"/>
    </x:xf>
    <x:xf numFmtId="0" fontId="9" fillId="5" borderId="8" xfId="0" applyNumberFormat="1" applyFont="1" applyFill="1" applyBorder="1" applyAlignment="1">
      <x:alignment vertical="center" wrapText="1"/>
    </x:xf>
    <x:xf numFmtId="0" fontId="9" fillId="5" borderId="9" xfId="0" applyNumberFormat="1" applyFont="1" applyFill="1" applyBorder="1" applyAlignment="1">
      <x:alignment vertical="center" wrapText="1"/>
    </x:xf>
    <x:xf numFmtId="0" fontId="9" fillId="5" borderId="10" xfId="0" applyNumberFormat="1" applyFont="1" applyFill="1" applyBorder="1" applyAlignment="1">
      <x:alignment vertical="center" wrapText="1"/>
    </x:xf>
    <x:xf numFmtId="0" fontId="9" fillId="5" borderId="11"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12" xfId="0" applyNumberFormat="1" applyFont="1" applyFill="1" applyBorder="1" applyAlignment="1">
      <x:alignment vertical="center" wrapText="1"/>
    </x:xf>
    <x:xf numFmtId="0" fontId="9" fillId="5" borderId="13" xfId="0" applyNumberFormat="1" applyFont="1" applyFill="1" applyBorder="1" applyAlignment="1">
      <x:alignment vertical="center" wrapText="1"/>
    </x:xf>
    <x:xf numFmtId="0" fontId="9" fillId="5" borderId="14" xfId="0" applyNumberFormat="1" applyFont="1" applyFill="1" applyBorder="1" applyAlignment="1">
      <x:alignment vertical="center" wrapText="1"/>
    </x:xf>
    <x:xf numFmtId="0" fontId="9" fillId="5" borderId="15" xfId="0" applyNumberFormat="1" applyFont="1" applyFill="1" applyBorder="1" applyAlignment="1">
      <x:alignment vertical="center" wrapText="1"/>
    </x:xf>
    <x:xf numFmtId="0" fontId="9" fillId="5" borderId="16" xfId="0" applyNumberFormat="1" applyFont="1" applyFill="1" applyBorder="1" applyAlignment="1">
      <x:alignment vertical="center" wrapText="1"/>
    </x:xf>
    <x:xf numFmtId="0" fontId="9" fillId="5" borderId="17" xfId="0" applyNumberFormat="1" applyFont="1" applyFill="1" applyBorder="1" applyAlignment="1">
      <x:alignment vertical="center" wrapText="1"/>
    </x:xf>
    <x:xf numFmtId="0" fontId="9" fillId="5" borderId="18" xfId="0" applyNumberFormat="1" applyFont="1" applyFill="1" applyBorder="1" applyAlignment="1">
      <x:alignment vertical="center" wrapText="1"/>
    </x:xf>
    <x:xf numFmtId="0" fontId="9" fillId="5" borderId="19" xfId="0" applyNumberFormat="1" applyFont="1" applyFill="1" applyBorder="1" applyAlignment="1">
      <x:alignment vertical="center" wrapText="1"/>
    </x:xf>
    <x:xf numFmtId="0" fontId="9" fillId="5" borderId="1" xfId="0" applyNumberFormat="1" applyFont="1" applyFill="1" applyBorder="1" applyAlignment="1">
      <x:alignment vertical="center" wrapText="1"/>
    </x:xf>
    <x:xf numFmtId="0" fontId="9" fillId="5" borderId="20" xfId="0" applyNumberFormat="1" applyFont="1" applyFill="1" applyBorder="1" applyAlignment="1">
      <x:alignment vertical="center" wrapText="1"/>
    </x:xf>
    <x:xf numFmtId="0" fontId="9" fillId="5" borderId="21" xfId="0" applyNumberFormat="1" applyFont="1" applyFill="1" applyBorder="1" applyAlignment="1">
      <x:alignment vertical="center" wrapText="1"/>
    </x:xf>
    <x:xf numFmtId="0" fontId="9" fillId="5" borderId="22" xfId="0" applyNumberFormat="1" applyFont="1" applyFill="1" applyBorder="1" applyAlignment="1">
      <x:alignment vertical="center" wrapText="1"/>
    </x:xf>
    <x:xf numFmtId="0" fontId="9" fillId="5" borderId="23" xfId="0" applyNumberFormat="1" applyFont="1" applyFill="1" applyBorder="1" applyAlignment="1">
      <x:alignment vertical="center"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4" borderId="6" xfId="0" applyNumberFormat="1" applyFont="1" applyFill="1" applyBorder="1" applyAlignment="1">
      <x:alignment wrapText="1"/>
    </x:xf>
    <x:xf numFmtId="0" fontId="5" fillId="4" borderId="7"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4" borderId="6" xfId="0" applyNumberFormat="1" applyFont="1" applyFill="1" applyBorder="1" applyAlignment="1">
      <x:alignment vertical="top" wrapText="1"/>
    </x:xf>
    <x:xf numFmtId="0" fontId="5" fillId="4" borderId="7"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10" fillId="6" borderId="0" xfId="0" applyNumberFormat="1" applyFont="1" applyFill="1" applyBorder="1"/>
    <x:xf numFmtId="0" fontId="10" fillId="6" borderId="1" xfId="0" applyNumberFormat="1" applyFont="1" applyFill="1" applyBorder="1"/>
    <x:xf numFmtId="0" fontId="10" fillId="6" borderId="24" xfId="0" applyNumberFormat="1" applyFont="1" applyFill="1" applyBorder="1"/>
    <x:xf numFmtId="0" fontId="10" fillId="6" borderId="25" xfId="0" applyNumberFormat="1" applyFont="1" applyFill="1" applyBorder="1"/>
    <x:xf numFmtId="0" fontId="10" fillId="6" borderId="26" xfId="0" applyNumberFormat="1" applyFont="1" applyFill="1" applyBorder="1"/>
    <x:xf numFmtId="0" fontId="10" fillId="6" borderId="27" xfId="0" applyNumberFormat="1" applyFont="1" applyFill="1" applyBorder="1"/>
    <x:xf numFmtId="0" fontId="10" fillId="6" borderId="28" xfId="0" applyNumberFormat="1" applyFont="1" applyFill="1" applyBorder="1"/>
    <x:xf numFmtId="0" fontId="10" fillId="6" borderId="29" xfId="0" applyNumberFormat="1" applyFont="1" applyFill="1" applyBorder="1"/>
    <x:xf numFmtId="0" fontId="10" fillId="6" borderId="30" xfId="0" applyNumberFormat="1" applyFont="1" applyFill="1" applyBorder="1"/>
    <x:xf numFmtId="0" fontId="10" fillId="6" borderId="31" xfId="0" applyNumberFormat="1" applyFont="1" applyFill="1" applyBorder="1"/>
    <x:xf numFmtId="0" fontId="10" fillId="6" borderId="32" xfId="0" applyNumberFormat="1" applyFont="1" applyFill="1" applyBorder="1"/>
    <x:xf numFmtId="0" fontId="10" fillId="6" borderId="33" xfId="0" applyNumberFormat="1" applyFont="1" applyFill="1" applyBorder="1"/>
    <x:xf numFmtId="0" fontId="10" fillId="6" borderId="34" xfId="0" applyNumberFormat="1" applyFont="1" applyFill="1" applyBorder="1"/>
    <x:xf numFmtId="0" fontId="10" fillId="6" borderId="35" xfId="0" applyNumberFormat="1" applyFont="1" applyFill="1" applyBorder="1"/>
    <x:xf numFmtId="0" fontId="10" fillId="6" borderId="36" xfId="0" applyNumberFormat="1" applyFont="1" applyFill="1" applyBorder="1"/>
    <x:xf numFmtId="0" fontId="10" fillId="6" borderId="37" xfId="0" applyNumberFormat="1" applyFont="1" applyFill="1" applyBorder="1"/>
    <x:xf numFmtId="0" fontId="10" fillId="6" borderId="38" xfId="0" applyNumberFormat="1" applyFont="1" applyFill="1" applyBorder="1"/>
    <x:xf numFmtId="0" fontId="10" fillId="6" borderId="39" xfId="0" applyNumberFormat="1" applyFont="1" applyFill="1" applyBorder="1"/>
    <x:xf numFmtId="0" fontId="10" fillId="6" borderId="24" xfId="0" applyNumberFormat="1" applyFont="1" applyFill="1" applyBorder="1" applyAlignment="1">
      <x:alignment wrapText="1"/>
    </x:xf>
    <x:xf numFmtId="0" fontId="10" fillId="6" borderId="25" xfId="0" applyNumberFormat="1" applyFont="1" applyFill="1" applyBorder="1" applyAlignment="1">
      <x:alignment wrapText="1"/>
    </x:xf>
    <x:xf numFmtId="0" fontId="10" fillId="6" borderId="26" xfId="0" applyNumberFormat="1" applyFont="1" applyFill="1" applyBorder="1" applyAlignment="1">
      <x:alignment wrapText="1"/>
    </x:xf>
    <x:xf numFmtId="0" fontId="10" fillId="6" borderId="27" xfId="0" applyNumberFormat="1" applyFont="1" applyFill="1" applyBorder="1" applyAlignment="1">
      <x:alignment wrapText="1"/>
    </x:xf>
    <x:xf numFmtId="0" fontId="10" fillId="6" borderId="0" xfId="0" applyNumberFormat="1" applyFont="1" applyFill="1" applyBorder="1" applyAlignment="1">
      <x:alignment wrapText="1"/>
    </x:xf>
    <x:xf numFmtId="0" fontId="10" fillId="6" borderId="28" xfId="0" applyNumberFormat="1" applyFont="1" applyFill="1" applyBorder="1" applyAlignment="1">
      <x:alignment wrapText="1"/>
    </x:xf>
    <x:xf numFmtId="0" fontId="10" fillId="6" borderId="29" xfId="0" applyNumberFormat="1" applyFont="1" applyFill="1" applyBorder="1" applyAlignment="1">
      <x:alignment wrapText="1"/>
    </x:xf>
    <x:xf numFmtId="0" fontId="10" fillId="6" borderId="30" xfId="0" applyNumberFormat="1" applyFont="1" applyFill="1" applyBorder="1" applyAlignment="1">
      <x:alignment wrapText="1"/>
    </x:xf>
    <x:xf numFmtId="0" fontId="10" fillId="6" borderId="31" xfId="0" applyNumberFormat="1" applyFont="1" applyFill="1" applyBorder="1" applyAlignment="1">
      <x:alignment wrapText="1"/>
    </x:xf>
    <x:xf numFmtId="0" fontId="10" fillId="6" borderId="32" xfId="0" applyNumberFormat="1" applyFont="1" applyFill="1" applyBorder="1" applyAlignment="1">
      <x:alignment wrapText="1"/>
    </x:xf>
    <x:xf numFmtId="0" fontId="10" fillId="6" borderId="33" xfId="0" applyNumberFormat="1" applyFont="1" applyFill="1" applyBorder="1" applyAlignment="1">
      <x:alignment wrapText="1"/>
    </x:xf>
    <x:xf numFmtId="0" fontId="10" fillId="6" borderId="34" xfId="0" applyNumberFormat="1" applyFont="1" applyFill="1" applyBorder="1" applyAlignment="1">
      <x:alignment wrapText="1"/>
    </x:xf>
    <x:xf numFmtId="0" fontId="10" fillId="6" borderId="35" xfId="0" applyNumberFormat="1" applyFont="1" applyFill="1" applyBorder="1" applyAlignment="1">
      <x:alignment wrapText="1"/>
    </x:xf>
    <x:xf numFmtId="0" fontId="10" fillId="6" borderId="1" xfId="0" applyNumberFormat="1" applyFont="1" applyFill="1" applyBorder="1" applyAlignment="1">
      <x:alignment wrapText="1"/>
    </x:xf>
    <x:xf numFmtId="0" fontId="10" fillId="6" borderId="36" xfId="0" applyNumberFormat="1" applyFont="1" applyFill="1" applyBorder="1" applyAlignment="1">
      <x:alignment wrapText="1"/>
    </x:xf>
    <x:xf numFmtId="0" fontId="10" fillId="6" borderId="37" xfId="0" applyNumberFormat="1" applyFont="1" applyFill="1" applyBorder="1" applyAlignment="1">
      <x:alignment wrapText="1"/>
    </x:xf>
    <x:xf numFmtId="0" fontId="10" fillId="6" borderId="38" xfId="0" applyNumberFormat="1" applyFont="1" applyFill="1" applyBorder="1" applyAlignment="1">
      <x:alignment wrapText="1"/>
    </x:xf>
    <x:xf numFmtId="0" fontId="10" fillId="6" borderId="39" xfId="0" applyNumberFormat="1" applyFont="1" applyFill="1" applyBorder="1" applyAlignment="1">
      <x:alignment wrapText="1"/>
    </x:xf>
    <x:xf numFmtId="0" fontId="10" fillId="6" borderId="24" xfId="0" applyNumberFormat="1" applyFont="1" applyFill="1" applyBorder="1" applyAlignment="1">
      <x:alignment vertical="center" wrapText="1"/>
    </x:xf>
    <x:xf numFmtId="0" fontId="10" fillId="6" borderId="25" xfId="0" applyNumberFormat="1" applyFont="1" applyFill="1" applyBorder="1" applyAlignment="1">
      <x:alignment vertical="center" wrapText="1"/>
    </x:xf>
    <x:xf numFmtId="0" fontId="10" fillId="6" borderId="26" xfId="0" applyNumberFormat="1" applyFont="1" applyFill="1" applyBorder="1" applyAlignment="1">
      <x:alignment vertical="center" wrapText="1"/>
    </x:xf>
    <x:xf numFmtId="0" fontId="10" fillId="6" borderId="27" xfId="0" applyNumberFormat="1" applyFont="1" applyFill="1" applyBorder="1" applyAlignment="1">
      <x:alignment vertical="center" wrapText="1"/>
    </x:xf>
    <x:xf numFmtId="0" fontId="10" fillId="6" borderId="0" xfId="0" applyNumberFormat="1" applyFont="1" applyFill="1" applyBorder="1" applyAlignment="1">
      <x:alignment vertical="center" wrapText="1"/>
    </x:xf>
    <x:xf numFmtId="0" fontId="10" fillId="6" borderId="28" xfId="0" applyNumberFormat="1" applyFont="1" applyFill="1" applyBorder="1" applyAlignment="1">
      <x:alignment vertical="center" wrapText="1"/>
    </x:xf>
    <x:xf numFmtId="0" fontId="10" fillId="6" borderId="29" xfId="0" applyNumberFormat="1" applyFont="1" applyFill="1" applyBorder="1" applyAlignment="1">
      <x:alignment vertical="center" wrapText="1"/>
    </x:xf>
    <x:xf numFmtId="0" fontId="10" fillId="6" borderId="30" xfId="0" applyNumberFormat="1" applyFont="1" applyFill="1" applyBorder="1" applyAlignment="1">
      <x:alignment vertical="center" wrapText="1"/>
    </x:xf>
    <x:xf numFmtId="0" fontId="10" fillId="6" borderId="31" xfId="0" applyNumberFormat="1" applyFont="1" applyFill="1" applyBorder="1" applyAlignment="1">
      <x:alignment vertical="center" wrapText="1"/>
    </x:xf>
  </x:cellXfs>
  <x:cellStyles count="1">
    <x:cellStyle name="Normal" xfId="0"/>
  </x:cellStyles>
  <x:dxfs count="4">
    <x:dxf>
      <x:font>
        <x:b/>
        <x:color rgb="FF006100"/>
      </x:font>
      <x:fill>
        <x:patternFill patternType="solid">
          <x:bgColor rgb="FFE2F0D9"/>
        </x:patternFill>
      </x:fill>
    </x:dxf>
    <x:dxf>
      <x:font>
        <x:b/>
        <x:color rgb="FF9C65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0f27daf5274a0b" /><Relationship Type="http://schemas.openxmlformats.org/officeDocument/2006/relationships/theme" Target="/xl/theme/theme1.xml" Id="R173fb4118ec1457e" /><Relationship Type="http://schemas.openxmlformats.org/officeDocument/2006/relationships/sharedStrings" Target="/xl/sharedStrings.xml" Id="Ra2e204ff137c4128" /><Relationship Type="http://schemas.openxmlformats.org/officeDocument/2006/relationships/worksheet" Target="/xl/worksheets/sheet1.xml" Id="R9c6b60b5765e4a58" /><Relationship Type="http://schemas.openxmlformats.org/officeDocument/2006/relationships/worksheet" Target="/xl/worksheets/sheet2.xml" Id="Rdc18135931664a89" /><Relationship Type="http://schemas.openxmlformats.org/officeDocument/2006/relationships/worksheet" Target="/xl/worksheets/sheet3.xml" Id="R3c33cbe6691842b9"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48534ccf7e43e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环境覆盖分布</a:t>
            </a:r>
          </a:p>
        </c:rich>
      </c:tx>
      <c:overlay val="0"/>
    </c:title>
    <c:plotArea>
      <c:barChart>
        <c:barDir val="col"/>
        <c:varyColors val="0"/>
        <c:ser>
          <c:idx val="0"/>
          <c:order val="0"/>
          <c:tx>
            <c:v>复核条数</c:v>
          </c:tx>
          <c:cat>
            <c:strRef>
              <c:f>'复核汇总'!$A$15:$A$34</c:f>
              <c:strCache>
                <c:ptCount val="0"/>
              </c:strCache>
            </c:strRef>
          </c:cat>
          <c:val>
            <c:numRef>
              <c:f>'复核汇总'!$B$15:$B$34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48534ccf7e43e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c4103dab3c24096"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23" hidden="0" customWidth="1"/>
    <x:col min="3" max="3" width="19" hidden="0" customWidth="1"/>
    <x:col min="4" max="4" width="24" hidden="0" customWidth="1"/>
    <x:col min="5" max="5" width="24" hidden="0" customWidth="1"/>
    <x:col min="6" max="6" width="9" hidden="0" customWidth="1"/>
    <x:col min="7" max="7" width="34" hidden="0" customWidth="1"/>
    <x:col min="8" max="8" width="35" hidden="0" customWidth="1"/>
    <x:col min="9" max="9" width="24" hidden="0" customWidth="1"/>
    <x:col min="10" max="10" width="24" hidden="0" customWidth="1"/>
    <x:col min="11" max="11" width="10" hidden="0" customWidth="1"/>
    <x:col min="12" max="12" width="48" hidden="0" customWidth="1"/>
    <x:col min="13" max="13" width="30" hidden="0" customWidth="1"/>
    <x:col min="14" max="14" width="10" hidden="0" customWidth="1"/>
    <x:col min="15" max="15" width="28" hidden="0" customWidth="1"/>
    <x:col min="16" max="16" width="28" hidden="0" customWidth="1"/>
    <x:col min="17" max="17" width="55" hidden="0" customWidth="1"/>
    <x:col min="18" max="18" width="28" hidden="0" customWidth="1"/>
    <x:col min="19" max="19" width="28" hidden="0" customWidth="1"/>
    <x:col min="20" max="20" width="55"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70" hidden="0" customWidth="1"/>
  </x:cols>
  <x:sheetData>
    <x:row r="1" ht="34" customHeight="1">
      <x:c r="A1" s="18" t="str">
        <x:v>﻿review_schema_version</x:v>
      </x:c>
      <x:c r="B1" s="18" t="str">
        <x:v>example_id</x:v>
      </x:c>
      <x:c r="C1" s="18" t="str">
        <x:v>review_status</x:v>
      </x:c>
      <x:c r="D1" s="18" t="str">
        <x:v>reviewer</x:v>
      </x:c>
      <x:c r="E1" s="18" t="str">
        <x:v>reviewed_at_utc</x:v>
      </x:c>
      <x:c r="F1" s="18" t="str">
        <x:v>priority</x:v>
      </x:c>
      <x:c r="G1" s="18" t="str">
        <x:v>reason_codes</x:v>
      </x:c>
      <x:c r="H1" s="18" t="str">
        <x:v>env_id</x:v>
      </x:c>
      <x:c r="I1" s="18" t="str">
        <x:v>task_id</x:v>
      </x:c>
      <x:c r="J1" s="18" t="str">
        <x:v>episode_id</x:v>
      </x:c>
      <x:c r="K1" s="18" t="str">
        <x:v>step_index</x:v>
      </x:c>
      <x:c r="L1" s="18" t="str">
        <x:v>instruction</x:v>
      </x:c>
      <x:c r="M1" s="18" t="str">
        <x:v>action</x:v>
      </x:c>
      <x:c r="N1" s="18" t="str">
        <x:v>reward</x:v>
      </x:c>
      <x:c r="O1" s="18" t="str">
        <x:v>state_url</x:v>
      </x:c>
      <x:c r="P1" s="18" t="str">
        <x:v>state_title</x:v>
      </x:c>
      <x:c r="Q1" s="18" t="str">
        <x:v>state_excerpt</x:v>
      </x:c>
      <x:c r="R1" s="18" t="str">
        <x:v>next_state_url</x:v>
      </x:c>
      <x:c r="S1" s="18" t="str">
        <x:v>next_state_title</x:v>
      </x:c>
      <x:c r="T1" s="18" t="str">
        <x:v>next_state_excerpt</x:v>
      </x:c>
      <x:c r="U1" s="18" t="str">
        <x:v>task_success</x:v>
      </x:c>
      <x:c r="V1" s="18" t="str">
        <x:v>stalled</x:v>
      </x:c>
      <x:c r="W1" s="18" t="str">
        <x:v>goal_deviation</x:v>
      </x:c>
      <x:c r="X1" s="18" t="str">
        <x:v>severe_failure</x:v>
      </x:c>
      <x:c r="Y1" s="18" t="str">
        <x:v>invalid_action</x:v>
      </x:c>
      <x:c r="Z1" s="18" t="str">
        <x:v>terminal</x:v>
      </x:c>
      <x:c r="AA1" s="18" t="str">
        <x:v>subgoal_progress_t1</x:v>
      </x:c>
      <x:c r="AB1" s="18" t="str">
        <x:v>notes</x:v>
      </x:c>
    </x:row>
    <x:row r="2" ht="46" customHeight="1">
      <x:c r="A2" s="6" t="str">
        <x:v>1</x:v>
      </x:c>
      <x:c r="B2" s="6" t="str">
        <x:v>d8c29fb36d0f051acb91</x:v>
      </x:c>
      <x:c r="C2" s="6" t="str">
        <x:v>evidence_approved</x:v>
      </x:c>
      <x:c r="D2" s="6" t="str">
        <x:v>codex-evidence-review-v1</x:v>
      </x:c>
      <x:c r="E2" s="22" t="n">
        <x:v>46244.40206471065</x:v>
      </x:c>
      <x:c r="F2" s="6" t="str">
        <x:v>20</x:v>
      </x:c>
      <x:c r="G2" s="20" t="str">
        <x:v>observed_counterfactual;severe_failure;terminal</x:v>
      </x:c>
      <x:c r="H2" s="20" t="str">
        <x:v>browsergym/miniwob.click-menu</x:v>
      </x:c>
      <x:c r="I2" s="6" t="str">
        <x:v>browsergym/miniwob.click-menu</x:v>
      </x:c>
      <x:c r="J2" s="6" t="str">
        <x:v>cf-click-menu-seed1018-hard_wrong_target</x:v>
      </x:c>
      <x:c r="K2" s="6" t="str">
        <x:v>0</x:v>
      </x:c>
      <x:c r="L2" s="20" t="str">
        <x:v>Select Marlie</x:v>
      </x:c>
      <x:c r="M2" s="20" t="str">
        <x:v>click("23", "left")</x:v>
      </x:c>
      <x:c r="N2" s="6" t="str">
        <x:v>0.0</x:v>
      </x:c>
      <x:c r="O2" s="20" t="str">
        <x:v>file:///root/autodl-tmp/miniwob-plusplus/miniwob/html/miniwob/click-menu.html</x:v>
      </x:c>
      <x:c r="P2" s="20" t="str">
        <x:v>Click Menu Task</x:v>
      </x:c>
      <x:c r="Q2" s="20" t="str">
        <x:v>RootWebArea 'Click Menu Task', focused [17] menu '', clickable, orientation='vertical' image '' [19] menuitem 'Marlie' image '' [21] menuitem 'Minetta' image '' [23] menuitem 'Phillida'</x:v>
      </x:c>
      <x:c r="R2" s="20" t="str">
        <x:v>file:///root/autodl-tmp/miniwob-plusplus/miniwob/html/miniwob/click-menu.html</x:v>
      </x:c>
      <x:c r="S2" s="20" t="str">
        <x:v>Click Menu Task</x:v>
      </x:c>
      <x:c r="T2" s="20" t="str">
        <x:v>RootWebArea 'Click Menu Task', focused [17] menu '', clickable, orientation='vertical' image '' [19] menuitem 'Marlie' image '' [21] menuitem 'Minetta' image '' [23] menuitem 'Phillida'</x:v>
      </x:c>
      <x:c r="U2" s="6" t="str">
        <x:v>0</x:v>
      </x:c>
      <x:c r="V2" s="6" t="str">
        <x:v>0</x:v>
      </x:c>
      <x:c r="W2" s="6" t="str">
        <x:v>0</x:v>
      </x:c>
      <x:c r="X2" s="6" t="str">
        <x:v>1</x:v>
      </x:c>
      <x:c r="Y2" s="6" t="str">
        <x:v>0</x:v>
      </x:c>
      <x:c r="Z2" s="6" t="str">
        <x:v>1</x:v>
      </x:c>
      <x:c r="AA2" s="6" t="str">
        <x:v>0.0</x:v>
      </x:c>
      <x:c r="AB2" s="20" t="str">
        <x:v>Codex证据复核v1：原始记录唯一匹配、环境实测、反事实配对ID完整、终止且非成功、奖励非正、队列标签与结果派生规则一致；非人工签字。</x:v>
      </x:c>
    </x:row>
    <x:row r="3" ht="46" customHeight="1">
      <x:c r="A3" s="6" t="str">
        <x:v>1</x:v>
      </x:c>
      <x:c r="B3" s="6" t="str">
        <x:v>f0842834b5adbe68451f</x:v>
      </x:c>
      <x:c r="C3" s="6" t="str">
        <x:v>evidence_approved</x:v>
      </x:c>
      <x:c r="D3" s="6" t="str">
        <x:v>codex-evidence-review-v1</x:v>
      </x:c>
      <x:c r="E3" s="22" t="n">
        <x:v>46244.40206471065</x:v>
      </x:c>
      <x:c r="F3" s="6" t="str">
        <x:v>20</x:v>
      </x:c>
      <x:c r="G3" s="20" t="str">
        <x:v>observed_counterfactual;severe_failure;terminal</x:v>
      </x:c>
      <x:c r="H3" s="20" t="str">
        <x:v>browsergym/miniwob.click-checkboxes-soft</x:v>
      </x:c>
      <x:c r="I3" s="6" t="str">
        <x:v>browsergym/miniwob.click-checkboxes-soft</x:v>
      </x:c>
      <x:c r="J3" s="6" t="str">
        <x:v>cf-click-checkboxes-soft-seed1020-missing_target</x:v>
      </x:c>
      <x:c r="K3" s="6" t="str">
        <x:v>0</x:v>
      </x:c>
      <x:c r="L3" s="20" t="str">
        <x:v>Select words similar to camouflage, dislike, evil, murder and click Submit.</x:v>
      </x:c>
      <x:c r="M3" s="20" t="str">
        <x:v>click("36", "left")</x:v>
      </x:c>
      <x:c r="N3" s="6" t="str">
        <x:v>0.0</x:v>
      </x:c>
      <x:c r="O3" s="20" t="str">
        <x:v>file:///root/autodl-tmp/miniwob-plusplus/miniwob/html/miniwob/click-checkboxes-soft.html</x:v>
      </x:c>
      <x:c r="P3" s="20" t="str">
        <x:v>Click Checkboxes Task</x:v>
      </x:c>
      <x:c r="Q3" s="20" t="str">
        <x:v>RootWebArea 'Click Checkboxes Task', focused [17] LabelText '', clickable [18] checkbox 'tragic', clickable, checked='false' StaticText 'tragic' [20] LabelText '', clickable [21] checkbox 'conceal', clickable, checked='false' StaticText 'conceal' [23] LabelText '', clickable [24] checkbox 'courageous', clickable, checked='false' StaticText 'courageous' [26] LabelText '', clickable [27] checkbox 'detest', clickable, checked='false' StaticText 'detest' [29] LabelText '', clickable [30] checkbox 'wicked', clickable, checked='false' StaticText 'wicked' [32] LabelText '', clickable [33] checkbox 'assassinate', clickable, checked='false' StaticText 'assassinate' [36] button 'Submit', clickable</x:v>
      </x:c>
      <x:c r="R3" s="20" t="str">
        <x:v>file:///root/autodl-tmp/miniwob-plusplus/miniwob/html/miniwob/click-checkboxes-soft.html</x:v>
      </x:c>
      <x:c r="S3" s="20" t="str">
        <x:v>Click Checkboxes Task</x:v>
      </x:c>
      <x:c r="T3" s="20" t="str">
        <x:v>RootWebArea 'Click Checkboxes Task', focused [17] LabelText '', clickable [18] checkbox 'tragic', clickable, checked='false' StaticText 'tragic' [20] LabelText '', clickable [21] checkbox 'conceal', clickable, checked='false' StaticText 'conceal' [23] LabelText '', clickable [24] checkbox 'courageous', clickable, checked='false' StaticText 'courageous' [26] LabelText '', clickable [27] checkbox 'detest', clickable, checked='false' StaticText 'detest' [29] LabelText '', clickable [30] checkbox 'wicked', clickable, checked='false' StaticText 'wicked' [32] LabelText '', clickable [33] checkbox 'assassinate', clickable, checked='false' StaticText 'assassinate' [36] button 'Submit', clickable, focused</x:v>
      </x:c>
      <x:c r="U3" s="6" t="str">
        <x:v>0</x:v>
      </x:c>
      <x:c r="V3" s="6" t="str">
        <x:v>0</x:v>
      </x:c>
      <x:c r="W3" s="6" t="str">
        <x:v>0</x:v>
      </x:c>
      <x:c r="X3" s="6" t="str">
        <x:v>1</x:v>
      </x:c>
      <x:c r="Y3" s="6" t="str">
        <x:v>0</x:v>
      </x:c>
      <x:c r="Z3" s="6" t="str">
        <x:v>1</x:v>
      </x:c>
      <x:c r="AA3" s="6" t="str">
        <x:v>0.0</x:v>
      </x:c>
      <x:c r="AB3" s="20" t="str">
        <x:v>Codex证据复核v1：原始记录唯一匹配、环境实测、反事实配对ID完整、终止且非成功、奖励非正、队列标签与结果派生规则一致；非人工签字。</x:v>
      </x:c>
    </x:row>
    <x:row r="4" ht="46" customHeight="1">
      <x:c r="A4" s="6" t="str">
        <x:v>1</x:v>
      </x:c>
      <x:c r="B4" s="6" t="str">
        <x:v>80fc3b652f768ec4f698</x:v>
      </x:c>
      <x:c r="C4" s="6" t="str">
        <x:v>evidence_approved</x:v>
      </x:c>
      <x:c r="D4" s="6" t="str">
        <x:v>codex-evidence-review-v1</x:v>
      </x:c>
      <x:c r="E4" s="22" t="n">
        <x:v>46244.40206471065</x:v>
      </x:c>
      <x:c r="F4" s="6" t="str">
        <x:v>20</x:v>
      </x:c>
      <x:c r="G4" s="20" t="str">
        <x:v>observed_counterfactual;severe_failure;terminal</x:v>
      </x:c>
      <x:c r="H4" s="20" t="str">
        <x:v>browsergym/miniwob.click-menu</x:v>
      </x:c>
      <x:c r="I4" s="6" t="str">
        <x:v>browsergym/miniwob.click-menu</x:v>
      </x:c>
      <x:c r="J4" s="6" t="str">
        <x:v>cf-click-menu-seed1010-hard_wrong_target</x:v>
      </x:c>
      <x:c r="K4" s="6" t="str">
        <x:v>0</x:v>
      </x:c>
      <x:c r="L4" s="20" t="str">
        <x:v>Select Madeline&gt;Jessi&gt;Marylee</x:v>
      </x:c>
      <x:c r="M4" s="20" t="str">
        <x:v>click("49", "left")</x:v>
      </x:c>
      <x:c r="N4" s="6" t="str">
        <x:v>0.0</x:v>
      </x:c>
      <x:c r="O4" s="20" t="str">
        <x:v>file:///root/autodl-tmp/miniwob-plusplus/miniwob/html/miniwob/click-menu.html</x:v>
      </x:c>
      <x:c r="P4" s="20" t="str">
        <x:v>Click Menu Task</x:v>
      </x:c>
      <x:c r="Q4" s="20" t="str">
        <x:v>RootWebArea 'Click Menu Task', focused [17] menu '', clickable, orientation='vertical' image '' [19] menuitem 'Bernadene' image '' [21] menuitem 'Madeline', hasPopup='menu' image '' [49] menuitem 'Marilyn', hasPopup='menu' image '' [83] menuitem 'Sidonnie'</x:v>
      </x:c>
      <x:c r="R4" s="20" t="str">
        <x:v>file:///root/autodl-tmp/miniwob-plusplus/miniwob/html/miniwob/click-menu.html</x:v>
      </x:c>
      <x:c r="S4" s="20" t="str">
        <x:v>Click Menu Task</x:v>
      </x:c>
      <x:c r="T4" s="20" t="str">
        <x:v>RootWebArea 'Click Menu Task', focused [17] menu '', clickable, orientation='vertical' image '' [19] menuitem 'Bernadene' image '' [21] menuitem 'Madeline', hasPopup='menu' image '' [49] menuitem 'Marilyn', hasPopup='menu' [51] menu '', orientation='vertical' image '' [53] menuitem 'Natalee', hasPopup='menu' image '' [61] menuitem 'Tiffie', hasPopup='menu' image '' [73] menuitem 'Sada', hasPopup='menu' image '' [83] menuitem 'Sidonnie'</x:v>
      </x:c>
      <x:c r="U4" s="6" t="str">
        <x:v>0</x:v>
      </x:c>
      <x:c r="V4" s="6" t="str">
        <x:v>0</x:v>
      </x:c>
      <x:c r="W4" s="6" t="str">
        <x:v>0</x:v>
      </x:c>
      <x:c r="X4" s="6" t="str">
        <x:v>1</x:v>
      </x:c>
      <x:c r="Y4" s="6" t="str">
        <x:v>0</x:v>
      </x:c>
      <x:c r="Z4" s="6" t="str">
        <x:v>1</x:v>
      </x:c>
      <x:c r="AA4" s="6" t="str">
        <x:v>0.0</x:v>
      </x:c>
      <x:c r="AB4" s="20" t="str">
        <x:v>Codex证据复核v1：原始记录唯一匹配、环境实测、反事实配对ID完整、终止且非成功、奖励非正、队列标签与结果派生规则一致；非人工签字。</x:v>
      </x:c>
    </x:row>
    <x:row r="5" ht="46" customHeight="1">
      <x:c r="A5" s="6" t="str">
        <x:v>1</x:v>
      </x:c>
      <x:c r="B5" s="6" t="str">
        <x:v>418c5c0fd3e0c8478c56</x:v>
      </x:c>
      <x:c r="C5" s="6" t="str">
        <x:v>evidence_approved</x:v>
      </x:c>
      <x:c r="D5" s="6" t="str">
        <x:v>codex-evidence-review-v1</x:v>
      </x:c>
      <x:c r="E5" s="22" t="n">
        <x:v>46244.40206471065</x:v>
      </x:c>
      <x:c r="F5" s="6" t="str">
        <x:v>20</x:v>
      </x:c>
      <x:c r="G5" s="20" t="str">
        <x:v>observed_counterfactual;severe_failure;terminal</x:v>
      </x:c>
      <x:c r="H5" s="20" t="str">
        <x:v>browsergym/miniwob.enter-text</x:v>
      </x:c>
      <x:c r="I5" s="6" t="str">
        <x:v>browsergym/miniwob.enter-text</x:v>
      </x:c>
      <x:c r="J5" s="6" t="str">
        <x:v>cf-enter-text-seed1031-hard_wrong_target</x:v>
      </x:c>
      <x:c r="K5" s="6" t="str">
        <x:v>0</x:v>
      </x:c>
      <x:c r="L5" s="20" t="str">
        <x:v>Enter "Cheree" into the text field and press Submit.</x:v>
      </x:c>
      <x:c r="M5" s="20" t="str">
        <x:v>click("15", "left")</x:v>
      </x:c>
      <x:c r="N5" s="6" t="str">
        <x:v>0.0</x:v>
      </x:c>
      <x:c r="O5" s="20" t="str">
        <x:v>file:///root/autodl-tmp/miniwob-plusplus/miniwob/html/miniwob/enter-text.html</x:v>
      </x:c>
      <x:c r="P5" s="20" t="str">
        <x:v>Enter Text Task</x:v>
      </x:c>
      <x:c r="Q5" s="20" t="str">
        <x:v>RootWebArea 'Enter Text Task', focused [14] textbox '', clickable [15] button 'Submit', clickable</x:v>
      </x:c>
      <x:c r="R5" s="20" t="str">
        <x:v>file:///root/autodl-tmp/miniwob-plusplus/miniwob/html/miniwob/enter-text.html</x:v>
      </x:c>
      <x:c r="S5" s="20" t="str">
        <x:v>Enter Text Task</x:v>
      </x:c>
      <x:c r="T5" s="20" t="str">
        <x:v>RootWebArea 'Enter Text Task', focused [14] textbox '', clickable [15] button 'Submit', clickable, focused</x:v>
      </x:c>
      <x:c r="U5" s="6" t="str">
        <x:v>0</x:v>
      </x:c>
      <x:c r="V5" s="6" t="str">
        <x:v>0</x:v>
      </x:c>
      <x:c r="W5" s="6" t="str">
        <x:v>0</x:v>
      </x:c>
      <x:c r="X5" s="6" t="str">
        <x:v>1</x:v>
      </x:c>
      <x:c r="Y5" s="6" t="str">
        <x:v>0</x:v>
      </x:c>
      <x:c r="Z5" s="6" t="str">
        <x:v>1</x:v>
      </x:c>
      <x:c r="AA5" s="6" t="str">
        <x:v>0.0</x:v>
      </x:c>
      <x:c r="AB5" s="20" t="str">
        <x:v>Codex证据复核v1：原始记录唯一匹配、环境实测、反事实配对ID完整、终止且非成功、奖励非正、队列标签与结果派生规则一致；非人工签字。</x:v>
      </x:c>
    </x:row>
    <x:row r="6" ht="46" customHeight="1">
      <x:c r="A6" s="6" t="str">
        <x:v>1</x:v>
      </x:c>
      <x:c r="B6" s="6" t="str">
        <x:v>4d0e6cef41e254a6df8b</x:v>
      </x:c>
      <x:c r="C6" s="6" t="str">
        <x:v>evidence_approved</x:v>
      </x:c>
      <x:c r="D6" s="6" t="str">
        <x:v>codex-evidence-review-v1</x:v>
      </x:c>
      <x:c r="E6" s="22" t="n">
        <x:v>46244.40206471065</x:v>
      </x:c>
      <x:c r="F6" s="6" t="str">
        <x:v>20</x:v>
      </x:c>
      <x:c r="G6" s="20" t="str">
        <x:v>observed_counterfactual;severe_failure;terminal</x:v>
      </x:c>
      <x:c r="H6" s="20" t="str">
        <x:v>browsergym/miniwob.click-tab</x:v>
      </x:c>
      <x:c r="I6" s="6" t="str">
        <x:v>browsergym/miniwob.click-tab</x:v>
      </x:c>
      <x:c r="J6" s="6" t="str">
        <x:v>cf-click-tab-seed1026-hard_wrong_target</x:v>
      </x:c>
      <x:c r="K6" s="6" t="str">
        <x:v>0</x:v>
      </x:c>
      <x:c r="L6" s="20" t="str">
        <x:v>Click on Tab #3.</x:v>
      </x:c>
      <x:c r="M6" s="20" t="str">
        <x:v>click("19", "left")</x:v>
      </x:c>
      <x:c r="N6" s="6" t="str">
        <x:v>0.0</x:v>
      </x:c>
      <x:c r="O6" s="20" t="str">
        <x:v>file:///root/autodl-tmp/miniwob-plusplus/miniwob/html/miniwob/click-tab.html</x:v>
      </x:c>
      <x:c r="P6" s="20" t="str">
        <x:v>Click Tab Task</x:v>
      </x:c>
      <x:c r="Q6"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'Amet turpis pellentesque mi scelerisque pharetra risus. Sed ipsum quis. Volutpat nec dignissim sit nunc cursus euismod erat mauris, duis.'</x:v>
      </x:c>
      <x:c r="R6" s="20" t="str">
        <x:v>file:///root/autodl-tmp/miniwob-plusplus/miniwob/html/miniwob/click-tab.html</x:v>
      </x:c>
      <x:c r="S6" s="20" t="str">
        <x:v>Click Tab Task</x:v>
      </x:c>
      <x:c r="T6"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'Mi consequat quisque et,. Amet,. Eros imperdiet pretium ultrices posuere. Ac neque eget at. Nascetur diam id neque, tellus. Amet.'</x:v>
      </x:c>
      <x:c r="U6" s="6" t="str">
        <x:v>0</x:v>
      </x:c>
      <x:c r="V6" s="6" t="str">
        <x:v>0</x:v>
      </x:c>
      <x:c r="W6" s="6" t="str">
        <x:v>0</x:v>
      </x:c>
      <x:c r="X6" s="6" t="str">
        <x:v>1</x:v>
      </x:c>
      <x:c r="Y6" s="6" t="str">
        <x:v>0</x:v>
      </x:c>
      <x:c r="Z6" s="6" t="str">
        <x:v>1</x:v>
      </x:c>
      <x:c r="AA6" s="6" t="str">
        <x:v>0.0</x:v>
      </x:c>
      <x:c r="AB6" s="20" t="str">
        <x:v>Codex证据复核v1：原始记录唯一匹配、环境实测、反事实配对ID完整、终止且非成功、奖励非正、队列标签与结果派生规则一致；非人工签字。</x:v>
      </x:c>
    </x:row>
    <x:row r="7" ht="46" customHeight="1">
      <x:c r="A7" s="6" t="str">
        <x:v>1</x:v>
      </x:c>
      <x:c r="B7" s="6" t="str">
        <x:v>99c354fb418692ee8def</x:v>
      </x:c>
      <x:c r="C7" s="6" t="str">
        <x:v>evidence_approved</x:v>
      </x:c>
      <x:c r="D7" s="6" t="str">
        <x:v>codex-evidence-review-v1</x:v>
      </x:c>
      <x:c r="E7" s="22" t="n">
        <x:v>46244.40206471065</x:v>
      </x:c>
      <x:c r="F7" s="6" t="str">
        <x:v>20</x:v>
      </x:c>
      <x:c r="G7" s="20" t="str">
        <x:v>observed_counterfactual;severe_failure;terminal</x:v>
      </x:c>
      <x:c r="H7" s="20" t="str">
        <x:v>browsergym/miniwob.enter-text-2</x:v>
      </x:c>
      <x:c r="I7" s="6" t="str">
        <x:v>browsergym/miniwob.enter-text-2</x:v>
      </x:c>
      <x:c r="J7" s="6" t="str">
        <x:v>cf-enter-text-2-seed1027-hard_wrong_target</x:v>
      </x:c>
      <x:c r="K7" s="6" t="str">
        <x:v>0</x:v>
      </x:c>
      <x:c r="L7" s="20" t="str">
        <x:v>Type "KANESHA" in all lower case letters in the text input and press Submit.</x:v>
      </x:c>
      <x:c r="M7" s="20" t="str">
        <x:v>click("15", "left")</x:v>
      </x:c>
      <x:c r="N7" s="6" t="str">
        <x:v>0.0</x:v>
      </x:c>
      <x:c r="O7" s="20" t="str">
        <x:v>file:///root/autodl-tmp/miniwob-plusplus/miniwob/html/miniwob/enter-text-2.html</x:v>
      </x:c>
      <x:c r="P7" s="20" t="str">
        <x:v>Enter Text Task</x:v>
      </x:c>
      <x:c r="Q7" s="20" t="str">
        <x:v>RootWebArea 'Enter Text Task', focused [14] textbox '', clickable [15] button 'Submit', clickable</x:v>
      </x:c>
      <x:c r="R7" s="20" t="str">
        <x:v>file:///root/autodl-tmp/miniwob-plusplus/miniwob/html/miniwob/enter-text-2.html</x:v>
      </x:c>
      <x:c r="S7" s="20" t="str">
        <x:v>Enter Text Task</x:v>
      </x:c>
      <x:c r="T7" s="20" t="str">
        <x:v>RootWebArea 'Enter Text Task', focused [14] textbox '', clickable [15] button 'Submit', clickable, focused</x:v>
      </x:c>
      <x:c r="U7" s="6" t="str">
        <x:v>0</x:v>
      </x:c>
      <x:c r="V7" s="6" t="str">
        <x:v>0</x:v>
      </x:c>
      <x:c r="W7" s="6" t="str">
        <x:v>0</x:v>
      </x:c>
      <x:c r="X7" s="6" t="str">
        <x:v>1</x:v>
      </x:c>
      <x:c r="Y7" s="6" t="str">
        <x:v>0</x:v>
      </x:c>
      <x:c r="Z7" s="6" t="str">
        <x:v>1</x:v>
      </x:c>
      <x:c r="AA7" s="6" t="str">
        <x:v>0.0</x:v>
      </x:c>
      <x:c r="AB7" s="20" t="str">
        <x:v>Codex证据复核v1：原始记录唯一匹配、环境实测、反事实配对ID完整、终止且非成功、奖励非正、队列标签与结果派生规则一致；非人工签字。</x:v>
      </x:c>
    </x:row>
    <x:row r="8" ht="46" customHeight="1">
      <x:c r="A8" s="6" t="str">
        <x:v>1</x:v>
      </x:c>
      <x:c r="B8" s="6" t="str">
        <x:v>f439e63eb01a0463fe71</x:v>
      </x:c>
      <x:c r="C8" s="6" t="str">
        <x:v>evidence_approved</x:v>
      </x:c>
      <x:c r="D8" s="6" t="str">
        <x:v>codex-evidence-review-v1</x:v>
      </x:c>
      <x:c r="E8" s="22" t="n">
        <x:v>46244.40206471065</x:v>
      </x:c>
      <x:c r="F8" s="6" t="str">
        <x:v>20</x:v>
      </x:c>
      <x:c r="G8" s="20" t="str">
        <x:v>observed_counterfactual;severe_failure;terminal</x:v>
      </x:c>
      <x:c r="H8" s="20" t="str">
        <x:v>browsergym/miniwob.click-tab</x:v>
      </x:c>
      <x:c r="I8" s="6" t="str">
        <x:v>browsergym/miniwob.click-tab</x:v>
      </x:c>
      <x:c r="J8" s="6" t="str">
        <x:v>cf-click-tab-seed1031-hard_wrong_target</x:v>
      </x:c>
      <x:c r="K8" s="6" t="str">
        <x:v>0</x:v>
      </x:c>
      <x:c r="L8" s="20" t="str">
        <x:v>Click on Tab #3.</x:v>
      </x:c>
      <x:c r="M8" s="20" t="str">
        <x:v>click("20", "left")</x:v>
      </x:c>
      <x:c r="N8" s="6" t="str">
        <x:v>0.0</x:v>
      </x:c>
      <x:c r="O8" s="20" t="str">
        <x:v>file:///root/autodl-tmp/miniwob-plusplus/miniwob/html/miniwob/click-tab.html</x:v>
      </x:c>
      <x:c r="P8" s="20" t="str">
        <x:v>Click Tab Task</x:v>
      </x:c>
      <x:c r="Q8"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'Id nulla cras odio consectetur elit semper pulvinar. Elit. Vitae dignissim volutpat gravida. Amet sollicitudin ultricies mi ullamcorper fusce est.'</x:v>
      </x:c>
      <x:c r="R8" s="20" t="str">
        <x:v>file:///root/autodl-tmp/miniwob-plusplus/miniwob/html/miniwob/click-tab.html</x:v>
      </x:c>
      <x:c r="S8" s="20" t="str">
        <x:v>Click Tab Task</x:v>
      </x:c>
      <x:c r="T8"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'Id nulla cras odio consectetur elit semper pulvinar. Elit. Vitae dignissim volutpat gravida. Amet sollicitudin ultricies mi ullamcorper fusce est.'</x:v>
      </x:c>
      <x:c r="U8" s="6" t="str">
        <x:v>0</x:v>
      </x:c>
      <x:c r="V8" s="6" t="str">
        <x:v>0</x:v>
      </x:c>
      <x:c r="W8" s="6" t="str">
        <x:v>0</x:v>
      </x:c>
      <x:c r="X8" s="6" t="str">
        <x:v>1</x:v>
      </x:c>
      <x:c r="Y8" s="6" t="str">
        <x:v>0</x:v>
      </x:c>
      <x:c r="Z8" s="6" t="str">
        <x:v>1</x:v>
      </x:c>
      <x:c r="AA8" s="6" t="str">
        <x:v>0.0</x:v>
      </x:c>
      <x:c r="AB8" s="20" t="str">
        <x:v>Codex证据复核v1：原始记录唯一匹配、环境实测、反事实配对ID完整、终止且非成功、奖励非正、队列标签与结果派生规则一致；非人工签字。</x:v>
      </x:c>
    </x:row>
    <x:row r="9" ht="46" customHeight="1">
      <x:c r="A9" s="6" t="str">
        <x:v>1</x:v>
      </x:c>
      <x:c r="B9" s="6" t="str">
        <x:v>071dd5edc709b9ec869f</x:v>
      </x:c>
      <x:c r="C9" s="6" t="str">
        <x:v>evidence_approved</x:v>
      </x:c>
      <x:c r="D9" s="6" t="str">
        <x:v>codex-evidence-review-v1</x:v>
      </x:c>
      <x:c r="E9" s="22" t="n">
        <x:v>46244.40206471065</x:v>
      </x:c>
      <x:c r="F9" s="6" t="str">
        <x:v>20</x:v>
      </x:c>
      <x:c r="G9" s="20" t="str">
        <x:v>observed_counterfactual;severe_failure;terminal</x:v>
      </x:c>
      <x:c r="H9" s="20" t="str">
        <x:v>browsergym/miniwob.click-test-2</x:v>
      </x:c>
      <x:c r="I9" s="6" t="str">
        <x:v>browsergym/miniwob.click-test-2</x:v>
      </x:c>
      <x:c r="J9" s="6" t="str">
        <x:v>cf-click-test-2-seed1001-hard_wrong_target</x:v>
      </x:c>
      <x:c r="K9" s="6" t="str">
        <x:v>0</x:v>
      </x:c>
      <x:c r="L9" s="20" t="str">
        <x:v>Click button ONE.</x:v>
      </x:c>
      <x:c r="M9" s="20" t="str">
        <x:v>click("14", "left")</x:v>
      </x:c>
      <x:c r="N9" s="6" t="str">
        <x:v>0.0</x:v>
      </x:c>
      <x:c r="O9" s="20" t="str">
        <x:v>file:///root/autodl-tmp/miniwob-plusplus/miniwob/html/miniwob/click-test-2.html</x:v>
      </x:c>
      <x:c r="P9" s="20" t="str">
        <x:v>Click Test Task</x:v>
      </x:c>
      <x:c r="Q9" s="20" t="str">
        <x:v>RootWebArea 'Click Test Task', focused [13] button 'ONE', clickable [14] button 'TWO', clickable</x:v>
      </x:c>
      <x:c r="R9" s="20" t="str">
        <x:v>file:///root/autodl-tmp/miniwob-plusplus/miniwob/html/miniwob/click-test-2.html</x:v>
      </x:c>
      <x:c r="S9" s="20" t="str">
        <x:v>Click Test Task</x:v>
      </x:c>
      <x:c r="T9" s="20" t="str">
        <x:v>RootWebArea 'Click Test Task', focused [13] button 'ONE', clickable [14] button 'TWO', clickable, focused</x:v>
      </x:c>
      <x:c r="U9" s="6" t="str">
        <x:v>0</x:v>
      </x:c>
      <x:c r="V9" s="6" t="str">
        <x:v>0</x:v>
      </x:c>
      <x:c r="W9" s="6" t="str">
        <x:v>0</x:v>
      </x:c>
      <x:c r="X9" s="6" t="str">
        <x:v>1</x:v>
      </x:c>
      <x:c r="Y9" s="6" t="str">
        <x:v>0</x:v>
      </x:c>
      <x:c r="Z9" s="6" t="str">
        <x:v>1</x:v>
      </x:c>
      <x:c r="AA9" s="6" t="str">
        <x:v>0.0</x:v>
      </x:c>
      <x:c r="AB9" s="20" t="str">
        <x:v>Codex证据复核v1：原始记录唯一匹配、环境实测、反事实配对ID完整、终止且非成功、奖励非正、队列标签与结果派生规则一致；非人工签字。</x:v>
      </x:c>
    </x:row>
    <x:row r="10" ht="46" customHeight="1">
      <x:c r="A10" s="6" t="str">
        <x:v>1</x:v>
      </x:c>
      <x:c r="B10" s="6" t="str">
        <x:v>b307c5d5c798e19221b7</x:v>
      </x:c>
      <x:c r="C10" s="6" t="str">
        <x:v>evidence_approved</x:v>
      </x:c>
      <x:c r="D10" s="6" t="str">
        <x:v>codex-evidence-review-v1</x:v>
      </x:c>
      <x:c r="E10" s="22" t="n">
        <x:v>46244.40206471065</x:v>
      </x:c>
      <x:c r="F10" s="6" t="str">
        <x:v>20</x:v>
      </x:c>
      <x:c r="G10" s="20" t="str">
        <x:v>observed_counterfactual;severe_failure;terminal</x:v>
      </x:c>
      <x:c r="H10" s="20" t="str">
        <x:v>browsergym/miniwob.choose-list</x:v>
      </x:c>
      <x:c r="I10" s="6" t="str">
        <x:v>browsergym/miniwob.choose-list</x:v>
      </x:c>
      <x:c r="J10" s="6" t="str">
        <x:v>cf-choose-list-seed1003-missing_target</x:v>
      </x:c>
      <x:c r="K10" s="6" t="str">
        <x:v>0</x:v>
      </x:c>
      <x:c r="L10" s="20" t="str">
        <x:v>Select Libbie from the list and click Submit.</x:v>
      </x:c>
      <x:c r="M10" s="20" t="str">
        <x:v>click("19", "left")</x:v>
      </x:c>
      <x:c r="N10" s="6" t="str">
        <x:v>0.0</x:v>
      </x:c>
      <x:c r="O10" s="20" t="str">
        <x:v>file:///root/autodl-tmp/miniwob-plusplus/miniwob/html/miniwob/choose-list.html</x:v>
      </x:c>
      <x:c r="P10" s="20" t="str">
        <x:v>Choose List Task</x:v>
      </x:c>
      <x:c r="Q10" s="20" t="str">
        <x:v>RootWebArea 'Choose List Task', focused [13] combobox '' value='Drucie', hasPopup='menu', expanded=False [19] button 'Submit', clickable</x:v>
      </x:c>
      <x:c r="R10" s="20" t="str">
        <x:v>file:///root/autodl-tmp/miniwob-plusplus/miniwob/html/miniwob/choose-list.html</x:v>
      </x:c>
      <x:c r="S10" s="20" t="str">
        <x:v>Choose List Task</x:v>
      </x:c>
      <x:c r="T10" s="20" t="str">
        <x:v>RootWebArea 'Choose List Task', focused [13] combobox '' value='Drucie', hasPopup='menu', expanded=False [19] button 'Submit', clickable, focused</x:v>
      </x:c>
      <x:c r="U10" s="6" t="str">
        <x:v>0</x:v>
      </x:c>
      <x:c r="V10" s="6" t="str">
        <x:v>0</x:v>
      </x:c>
      <x:c r="W10" s="6" t="str">
        <x:v>0</x:v>
      </x:c>
      <x:c r="X10" s="6" t="str">
        <x:v>1</x:v>
      </x:c>
      <x:c r="Y10" s="6" t="str">
        <x:v>0</x:v>
      </x:c>
      <x:c r="Z10" s="6" t="str">
        <x:v>1</x:v>
      </x:c>
      <x:c r="AA10" s="6" t="str">
        <x:v>0.0</x:v>
      </x:c>
      <x:c r="AB10" s="20" t="str">
        <x:v>Codex证据复核v1：原始记录唯一匹配、环境实测、反事实配对ID完整、终止且非成功、奖励非正、队列标签与结果派生规则一致；非人工签字。</x:v>
      </x:c>
    </x:row>
    <x:row r="11" ht="46" customHeight="1">
      <x:c r="A11" s="6" t="str">
        <x:v>1</x:v>
      </x:c>
      <x:c r="B11" s="6" t="str">
        <x:v>f0685e57a4bca1c02bd8</x:v>
      </x:c>
      <x:c r="C11" s="6" t="str">
        <x:v>evidence_approved</x:v>
      </x:c>
      <x:c r="D11" s="6" t="str">
        <x:v>codex-evidence-review-v1</x:v>
      </x:c>
      <x:c r="E11" s="22" t="n">
        <x:v>46244.40206471065</x:v>
      </x:c>
      <x:c r="F11" s="6" t="str">
        <x:v>20</x:v>
      </x:c>
      <x:c r="G11" s="20" t="str">
        <x:v>observed_counterfactual;severe_failure;terminal</x:v>
      </x:c>
      <x:c r="H11" s="20" t="str">
        <x:v>browsergym/miniwob.scroll-text</x:v>
      </x:c>
      <x:c r="I11" s="6" t="str">
        <x:v>browsergym/miniwob.scroll-text</x:v>
      </x:c>
      <x:c r="J11" s="6" t="str">
        <x:v>cf-scroll-text-seed1015-hard_wrong_target</x:v>
      </x:c>
      <x:c r="K11" s="6" t="str">
        <x:v>0</x:v>
      </x:c>
      <x:c r="L11" s="20" t="str">
        <x:v>Find the last word in the text area, enter it into the text field and hit Submit.</x:v>
      </x:c>
      <x:c r="M11" s="20" t="str">
        <x:v>click("15", "left")</x:v>
      </x:c>
      <x:c r="N11" s="6" t="str">
        <x:v>0.0</x:v>
      </x:c>
      <x:c r="O11" s="20" t="str">
        <x:v>file:///root/autodl-tmp/miniwob-plusplus/miniwob/html/miniwob/scroll-text.html</x:v>
      </x:c>
      <x:c r="P11" s="20" t="str">
        <x:v>Scroll Text Task</x:v>
      </x:c>
      <x:c r="Q11" s="20" t="str">
        <x:v>RootWebArea 'Scroll Text Task', focused [13] textbox '' value='Tellus. Rhoncus felis. Nullam tristique odio viverra porttitor tincidunt est in. Nunc, lacus. Egestas gravida. Eget faucibus. Facilisi porta ultrices erat. Rutrum fames. Mattis nam. Nibh quis. Etiam donec non sapien,. Quis nibh adipiscing urna, purus, quam nisl dui auctor consectetur. Consectetur dolor cras faucibus nunc lacus eget senectus in tortor eget volutpat morbi. Interdum libero a, at cras. Dictum eu, facilisis quis malesuada sit. Eget faucibus ullamcorper tellus nisl feugiat ultrices eget. Risus. Justo, vulputate nunc quam cursus viverra. Ut. Nisl malesuada.' StaticText 'Tellus. Rhoncus felis. Nullam tristique odio viverra porttitor tincidunt est in. Nunc, lacus. Egestas gravida. Eget faucibus. Facilisi porta ultrices erat. Rutrum fames. Mattis nam. Nibh quis. Etiam donec non sapien,. Quis nibh adipiscing urna, puru…</x:v>
      </x:c>
      <x:c r="R11" s="20" t="str">
        <x:v>file:///root/autodl-tmp/miniwob-plusplus/miniwob/html/miniwob/scroll-text.html</x:v>
      </x:c>
      <x:c r="S11" s="20" t="str">
        <x:v>Scroll Text Task</x:v>
      </x:c>
      <x:c r="T11" s="20" t="str">
        <x:v>RootWebArea 'Scroll Text Task', focused [13] textbox '' value='Tellus. Rhoncus felis. Nullam tristique odio viverra porttitor tincidunt est in. Nunc, lacus. Egestas gravida. Eget faucibus. Facilisi porta ultrices erat. Rutrum fames. Mattis nam. Nibh quis. Etiam donec non sapien,. Quis nibh adipiscing urna, purus, quam nisl dui auctor consectetur. Consectetur dolor cras faucibus nunc lacus eget senectus in tortor eget volutpat morbi. Interdum libero a, at cras. Dictum eu, facilisis quis malesuada sit. Eget faucibus ullamcorper tellus nisl feugiat ultrices eget. Risus. Justo, vulputate nunc quam cursus viverra. Ut. Nisl malesuada.' StaticText 'Tellus. Rhoncus felis. Nullam tristique odio viverra porttitor tincidunt est in. Nunc, lacus. Egestas gravida. Eget faucibus. Facilisi porta ultrices erat. Rutrum fames. Mattis nam. Nibh quis. Etiam donec non sapien,. Quis nibh adipiscing urna, puru…</x:v>
      </x:c>
      <x:c r="U11" s="6" t="str">
        <x:v>0</x:v>
      </x:c>
      <x:c r="V11" s="6" t="str">
        <x:v>0</x:v>
      </x:c>
      <x:c r="W11" s="6" t="str">
        <x:v>0</x:v>
      </x:c>
      <x:c r="X11" s="6" t="str">
        <x:v>1</x:v>
      </x:c>
      <x:c r="Y11" s="6" t="str">
        <x:v>0</x:v>
      </x:c>
      <x:c r="Z11" s="6" t="str">
        <x:v>1</x:v>
      </x:c>
      <x:c r="AA11" s="6" t="str">
        <x:v>0.0</x:v>
      </x:c>
      <x:c r="AB11" s="20" t="str">
        <x:v>Codex证据复核v1：原始记录唯一匹配、环境实测、反事实配对ID完整、终止且非成功、奖励非正、队列标签与结果派生规则一致；非人工签字。</x:v>
      </x:c>
    </x:row>
    <x:row r="12" ht="46" customHeight="1">
      <x:c r="A12" s="6" t="str">
        <x:v>1</x:v>
      </x:c>
      <x:c r="B12" s="6" t="str">
        <x:v>928ca963fd2967227a05</x:v>
      </x:c>
      <x:c r="C12" s="6" t="str">
        <x:v>evidence_approved</x:v>
      </x:c>
      <x:c r="D12" s="6" t="str">
        <x:v>codex-evidence-review-v1</x:v>
      </x:c>
      <x:c r="E12" s="22" t="n">
        <x:v>46244.40206471065</x:v>
      </x:c>
      <x:c r="F12" s="6" t="str">
        <x:v>20</x:v>
      </x:c>
      <x:c r="G12" s="20" t="str">
        <x:v>observed_counterfactual;severe_failure;terminal</x:v>
      </x:c>
      <x:c r="H12" s="20" t="str">
        <x:v>browsergym/miniwob.enter-text-dynamic</x:v>
      </x:c>
      <x:c r="I12" s="6" t="str">
        <x:v>browsergym/miniwob.enter-text-dynamic</x:v>
      </x:c>
      <x:c r="J12" s="6" t="str">
        <x:v>cf-enter-text-dynamic-seed1010-hard_wrong_target</x:v>
      </x:c>
      <x:c r="K12" s="6" t="str">
        <x:v>0</x:v>
      </x:c>
      <x:c r="L12" s="20" t="str">
        <x:v>Enter "y" into the text field and press Submit.</x:v>
      </x:c>
      <x:c r="M12" s="20" t="str">
        <x:v>click("15", "left")</x:v>
      </x:c>
      <x:c r="N12" s="6" t="str">
        <x:v>0.0</x:v>
      </x:c>
      <x:c r="O12" s="20" t="str">
        <x:v>file:///root/autodl-tmp/miniwob-plusplus/miniwob/html/miniwob/enter-text-dynamic.html</x:v>
      </x:c>
      <x:c r="P12" s="20" t="str">
        <x:v>Enter Dynamic Text Task</x:v>
      </x:c>
      <x:c r="Q12" s="20" t="str">
        <x:v>RootWebArea 'Enter Dynamic Text Task', focused [14] textbox '', clickable [15] button 'Submit', clickable</x:v>
      </x:c>
      <x:c r="R12" s="20" t="str">
        <x:v>file:///root/autodl-tmp/miniwob-plusplus/miniwob/html/miniwob/enter-text-dynamic.html</x:v>
      </x:c>
      <x:c r="S12" s="20" t="str">
        <x:v>Enter Dynamic Text Task</x:v>
      </x:c>
      <x:c r="T12" s="20" t="str">
        <x:v>RootWebArea 'Enter Dynamic Text Task', focused [14] textbox '', clickable [15] button 'Submit', clickable, focused</x:v>
      </x:c>
      <x:c r="U12" s="6" t="str">
        <x:v>0</x:v>
      </x:c>
      <x:c r="V12" s="6" t="str">
        <x:v>0</x:v>
      </x:c>
      <x:c r="W12" s="6" t="str">
        <x:v>0</x:v>
      </x:c>
      <x:c r="X12" s="6" t="str">
        <x:v>1</x:v>
      </x:c>
      <x:c r="Y12" s="6" t="str">
        <x:v>0</x:v>
      </x:c>
      <x:c r="Z12" s="6" t="str">
        <x:v>1</x:v>
      </x:c>
      <x:c r="AA12" s="6" t="str">
        <x:v>0.0</x:v>
      </x:c>
      <x:c r="AB12" s="20" t="str">
        <x:v>Codex证据复核v1：原始记录唯一匹配、环境实测、反事实配对ID完整、终止且非成功、奖励非正、队列标签与结果派生规则一致；非人工签字。</x:v>
      </x:c>
    </x:row>
    <x:row r="13" ht="46" customHeight="1">
      <x:c r="A13" s="6" t="str">
        <x:v>1</x:v>
      </x:c>
      <x:c r="B13" s="6" t="str">
        <x:v>84f68be124b235c7f1df</x:v>
      </x:c>
      <x:c r="C13" s="6" t="str">
        <x:v>evidence_approved</x:v>
      </x:c>
      <x:c r="D13" s="6" t="str">
        <x:v>codex-evidence-review-v1</x:v>
      </x:c>
      <x:c r="E13" s="22" t="n">
        <x:v>46244.40206471065</x:v>
      </x:c>
      <x:c r="F13" s="6" t="str">
        <x:v>20</x:v>
      </x:c>
      <x:c r="G13" s="20" t="str">
        <x:v>observed_counterfactual;severe_failure;terminal</x:v>
      </x:c>
      <x:c r="H13" s="20" t="str">
        <x:v>browsergym/miniwob.scroll-text-2</x:v>
      </x:c>
      <x:c r="I13" s="6" t="str">
        <x:v>browsergym/miniwob.scroll-text-2</x:v>
      </x:c>
      <x:c r="J13" s="6" t="str">
        <x:v>cf-scroll-text-2-seed1036-hard_wrong_target</x:v>
      </x:c>
      <x:c r="K13" s="6" t="str">
        <x:v>0</x:v>
      </x:c>
      <x:c r="L13" s="20" t="str">
        <x:v>Scroll the textarea to the top of the text hit submit.</x:v>
      </x:c>
      <x:c r="M13" s="20" t="str">
        <x:v>click("14", "left")</x:v>
      </x:c>
      <x:c r="N13" s="6" t="str">
        <x:v>0.0</x:v>
      </x:c>
      <x:c r="O13" s="20" t="str">
        <x:v>file:///root/autodl-tmp/miniwob-plusplus/miniwob/html/miniwob/scroll-text-2.html</x:v>
      </x:c>
      <x:c r="P13" s="20" t="str">
        <x:v>Scroll Text Task</x:v>
      </x:c>
      <x:c r="Q13" s="20" t="str">
        <x:v>RootWebArea 'Scroll Text Task', focused [13] textbox '' value='Sit velit interdum. Sapien lorem cursus diam lobortis vel cras convallis sapien a turpis arcu. Amet vitae gravida leo sit mi, nisi laoreet. Nam in in. Commodo ullamcorper cursus malesuada aliquam. Cursus gravida. Neque fusce egestas dui, non aliquam ut convallis eget dictumst augue. Tempor est sapien blandit. A in velit euismod pellentesque viverra nibh ornare quam. Tempus lectus venenatis euismod. Sem. Sapien,. Risus in nibh. Eget quam. Amet. Imperdiet in pellentesque sit nascetur lectus lobortis id. Viverra ut amet suspendisse lectus. Facilisis. Imperdiet in ultrice… StaticText 'Sit velit interdum. Sapien lorem cursus diam lobortis vel cras convallis sapien a turpis arcu. Amet vitae gravida leo sit mi, nisi laoreet. Nam in in. Commodo ullamcorper cursus malesuada aliquam. Cursus gravida. Neque fusce egestas dui, non aliqua…</x:v>
      </x:c>
      <x:c r="R13" s="20" t="str">
        <x:v>file:///root/autodl-tmp/miniwob-plusplus/miniwob/html/miniwob/scroll-text-2.html</x:v>
      </x:c>
      <x:c r="S13" s="20" t="str">
        <x:v>Scroll Text Task</x:v>
      </x:c>
      <x:c r="T13" s="20" t="str">
        <x:v>RootWebArea 'Scroll Text Task', focused [13] textbox '' value='Sit velit interdum. Sapien lorem cursus diam lobortis vel cras convallis sapien a turpis arcu. Amet vitae gravida leo sit mi, nisi laoreet. Nam in in. Commodo ullamcorper cursus malesuada aliquam. Cursus gravida. Neque fusce egestas dui, non aliquam ut convallis eget dictumst augue. Tempor est sapien blandit. A in velit euismod pellentesque viverra nibh ornare quam. Tempus lectus venenatis euismod. Sem. Sapien,. Risus in nibh. Eget quam. Amet. Imperdiet in pellentesque sit nascetur lectus lobortis id. Viverra ut amet suspendisse lectus. Facilisis. Imperdiet in ultrice… StaticText 'Sit velit interdum. Sapien lorem cursus diam lobortis vel cras convallis sapien a turpis arcu. Amet vitae gravida leo sit mi, nisi laoreet. Nam in in. Commodo ullamcorper cursus malesuada aliquam. Cursus gravida. Neque fusce egestas dui, non aliqua…</x:v>
      </x:c>
      <x:c r="U13" s="6" t="str">
        <x:v>0</x:v>
      </x:c>
      <x:c r="V13" s="6" t="str">
        <x:v>0</x:v>
      </x:c>
      <x:c r="W13" s="6" t="str">
        <x:v>0</x:v>
      </x:c>
      <x:c r="X13" s="6" t="str">
        <x:v>1</x:v>
      </x:c>
      <x:c r="Y13" s="6" t="str">
        <x:v>0</x:v>
      </x:c>
      <x:c r="Z13" s="6" t="str">
        <x:v>1</x:v>
      </x:c>
      <x:c r="AA13" s="6" t="str">
        <x:v>0.0</x:v>
      </x:c>
      <x:c r="AB13" s="20" t="str">
        <x:v>Codex证据复核v1：原始记录唯一匹配、环境实测、反事实配对ID完整、终止且非成功、奖励非正、队列标签与结果派生规则一致；非人工签字。</x:v>
      </x:c>
    </x:row>
    <x:row r="14" ht="46" customHeight="1">
      <x:c r="A14" s="6" t="str">
        <x:v>1</x:v>
      </x:c>
      <x:c r="B14" s="6" t="str">
        <x:v>26282b89fd9fc855a9d9</x:v>
      </x:c>
      <x:c r="C14" s="6" t="str">
        <x:v>evidence_approved</x:v>
      </x:c>
      <x:c r="D14" s="6" t="str">
        <x:v>codex-evidence-review-v1</x:v>
      </x:c>
      <x:c r="E14" s="22" t="n">
        <x:v>46244.40206471065</x:v>
      </x:c>
      <x:c r="F14" s="6" t="str">
        <x:v>20</x:v>
      </x:c>
      <x:c r="G14" s="20" t="str">
        <x:v>observed_counterfactual;severe_failure;terminal</x:v>
      </x:c>
      <x:c r="H14" s="20" t="str">
        <x:v>browsergym/miniwob.scroll-text</x:v>
      </x:c>
      <x:c r="I14" s="6" t="str">
        <x:v>browsergym/miniwob.scroll-text</x:v>
      </x:c>
      <x:c r="J14" s="6" t="str">
        <x:v>cf-scroll-text-seed1022-hard_wrong_target</x:v>
      </x:c>
      <x:c r="K14" s="6" t="str">
        <x:v>0</x:v>
      </x:c>
      <x:c r="L14" s="20" t="str">
        <x:v>Find the last word in the text area, enter it into the text field and hit Submit.</x:v>
      </x:c>
      <x:c r="M14" s="20" t="str">
        <x:v>click("15", "left")</x:v>
      </x:c>
      <x:c r="N14" s="6" t="str">
        <x:v>0.0</x:v>
      </x:c>
      <x:c r="O14" s="20" t="str">
        <x:v>file:///root/autodl-tmp/miniwob-plusplus/miniwob/html/miniwob/scroll-text.html</x:v>
      </x:c>
      <x:c r="P14" s="20" t="str">
        <x:v>Scroll Text Task</x:v>
      </x:c>
      <x:c r="Q14" s="20" t="str">
        <x:v>RootWebArea 'Scroll Text Task', focused [13] textbox '' value='Molestie sed eleifend euismod tempus integer venenatis, eu scelerisque. Suscipit varius arcu ac aliquam, commodo pharetra massa vestibulum dolor ac mattis. Pharetra suspendisse ridiculus amet. Sed in purus mi massa faucibus phasellus lacus, lectus augue eget ultrices. Sed. Duis eget lectus nulla nibh magna. Volutpat dui magna velit justo ac posuere sollicitudin a tincidunt. Ornare nibh rhoncus, sagittis purus. At. Lacus lectus mattis ac consectetur mi. At. Ligula ornare eget lectus adipiscing.' StaticText 'Molestie sed eleifend euismod tempus integer venenatis, eu scelerisque. Suscipit varius arcu ac aliquam, commodo pharetra massa vestibulum dolor ac mattis. Pharetra suspendisse ridiculus amet. Sed in purus mi massa faucibus phasellus lacus, lectus augue eget ultrices. Sed. Duis eget lectus nulla nibh magna. Volutpat dui ma…</x:v>
      </x:c>
      <x:c r="R14" s="20" t="str">
        <x:v>file:///root/autodl-tmp/miniwob-plusplus/miniwob/html/miniwob/scroll-text.html</x:v>
      </x:c>
      <x:c r="S14" s="20" t="str">
        <x:v>Scroll Text Task</x:v>
      </x:c>
      <x:c r="T14" s="20" t="str">
        <x:v>RootWebArea 'Scroll Text Task', focused [13] textbox '' value='Molestie sed eleifend euismod tempus integer venenatis, eu scelerisque. Suscipit varius arcu ac aliquam, commodo pharetra massa vestibulum dolor ac mattis. Pharetra suspendisse ridiculus amet. Sed in purus mi massa faucibus phasellus lacus, lectus augue eget ultrices. Sed. Duis eget lectus nulla nibh magna. Volutpat dui magna velit justo ac posuere sollicitudin a tincidunt. Ornare nibh rhoncus, sagittis purus. At. Lacus lectus mattis ac consectetur mi. At. Ligula ornare eget lectus adipiscing.' StaticText 'Molestie sed eleifend euismod tempus integer venenatis, eu scelerisque. Suscipit varius arcu ac aliquam, commodo pharetra massa vestibulum dolor ac mattis. Pharetra suspendisse ridiculus amet. Sed in purus mi massa faucibus phasellus lacus, lectus augue eget ultrices. Sed. Duis eget lectus nulla nibh magna. Volutpat dui ma…</x:v>
      </x:c>
      <x:c r="U14" s="6" t="str">
        <x:v>0</x:v>
      </x:c>
      <x:c r="V14" s="6" t="str">
        <x:v>0</x:v>
      </x:c>
      <x:c r="W14" s="6" t="str">
        <x:v>0</x:v>
      </x:c>
      <x:c r="X14" s="6" t="str">
        <x:v>1</x:v>
      </x:c>
      <x:c r="Y14" s="6" t="str">
        <x:v>0</x:v>
      </x:c>
      <x:c r="Z14" s="6" t="str">
        <x:v>1</x:v>
      </x:c>
      <x:c r="AA14" s="6" t="str">
        <x:v>0.0</x:v>
      </x:c>
      <x:c r="AB14" s="20" t="str">
        <x:v>Codex证据复核v1：原始记录唯一匹配、环境实测、反事实配对ID完整、终止且非成功、奖励非正、队列标签与结果派生规则一致；非人工签字。</x:v>
      </x:c>
    </x:row>
    <x:row r="15" ht="46" customHeight="1">
      <x:c r="A15" s="6" t="str">
        <x:v>1</x:v>
      </x:c>
      <x:c r="B15" s="6" t="str">
        <x:v>48ef1bf762fceabb3e48</x:v>
      </x:c>
      <x:c r="C15" s="6" t="str">
        <x:v>evidence_approved</x:v>
      </x:c>
      <x:c r="D15" s="6" t="str">
        <x:v>codex-evidence-review-v1</x:v>
      </x:c>
      <x:c r="E15" s="22" t="n">
        <x:v>46244.40206471065</x:v>
      </x:c>
      <x:c r="F15" s="6" t="str">
        <x:v>20</x:v>
      </x:c>
      <x:c r="G15" s="20" t="str">
        <x:v>observed_counterfactual;severe_failure;terminal</x:v>
      </x:c>
      <x:c r="H15" s="20" t="str">
        <x:v>browsergym/miniwob.click-widget</x:v>
      </x:c>
      <x:c r="I15" s="6" t="str">
        <x:v>browsergym/miniwob.click-widget</x:v>
      </x:c>
      <x:c r="J15" s="6" t="str">
        <x:v>cf-click-widget-seed1026-missing_target</x:v>
      </x:c>
      <x:c r="K15" s="6" t="str">
        <x:v>0</x:v>
      </x:c>
      <x:c r="L15" s="20" t="str">
        <x:v>Click on a "text" widget.</x:v>
      </x:c>
      <x:c r="M15" s="20" t="str">
        <x:v>click("19", "left")</x:v>
      </x:c>
      <x:c r="N15" s="6" t="str">
        <x:v>0.0</x:v>
      </x:c>
      <x:c r="O15" s="20" t="str">
        <x:v>file:///root/autodl-tmp/miniwob-plusplus/miniwob/html/miniwob/click-widget.html</x:v>
      </x:c>
      <x:c r="P15" s="20" t="str">
        <x:v>Click Widget Task</x:v>
      </x:c>
      <x:c r="Q15" s="20" t="str">
        <x:v>RootWebArea 'Click Widget Task', focused [14] textbox '' value='EAT' StaticText 'EAT' [16] textbox '' value='Js' StaticText 'Js' [18] LabelText '', clickable [19] radio 'r', clickable, checked='false' StaticText 'r' [21] textbox '' value='WhM', clickable StaticText 'WhM' [23] textbox '' value='0d3c' StaticText '0d3c'</x:v>
      </x:c>
      <x:c r="R15" s="20" t="str">
        <x:v>file:///root/autodl-tmp/miniwob-plusplus/miniwob/html/miniwob/click-widget.html</x:v>
      </x:c>
      <x:c r="S15" s="20" t="str">
        <x:v>Click Widget Task</x:v>
      </x:c>
      <x:c r="T15" s="20" t="str">
        <x:v>RootWebArea 'Click Widget Task', focused [14] textbox '' value='EAT' StaticText 'EAT' [16] textbox '' value='Js' StaticText 'Js' [18] LabelText '', clickable [19] radio 'r', clickable, focused, checked='true' StaticText 'r' [21] textbox '' value='WhM', clickable StaticText 'WhM' [23] textbox '' value='0d3c' StaticText '0d3c'</x:v>
      </x:c>
      <x:c r="U15" s="6" t="str">
        <x:v>0</x:v>
      </x:c>
      <x:c r="V15" s="6" t="str">
        <x:v>0</x:v>
      </x:c>
      <x:c r="W15" s="6" t="str">
        <x:v>0</x:v>
      </x:c>
      <x:c r="X15" s="6" t="str">
        <x:v>1</x:v>
      </x:c>
      <x:c r="Y15" s="6" t="str">
        <x:v>0</x:v>
      </x:c>
      <x:c r="Z15" s="6" t="str">
        <x:v>1</x:v>
      </x:c>
      <x:c r="AA15" s="6" t="str">
        <x:v>0.0</x:v>
      </x:c>
      <x:c r="AB15" s="20" t="str">
        <x:v>Codex证据复核v1：原始记录唯一匹配、环境实测、反事实配对ID完整、终止且非成功、奖励非正、队列标签与结果派生规则一致；非人工签字。</x:v>
      </x:c>
    </x:row>
    <x:row r="16" ht="46" customHeight="1">
      <x:c r="A16" s="6" t="str">
        <x:v>1</x:v>
      </x:c>
      <x:c r="B16" s="6" t="str">
        <x:v>2d460ec3ec944684381c</x:v>
      </x:c>
      <x:c r="C16" s="6" t="str">
        <x:v>evidence_approved</x:v>
      </x:c>
      <x:c r="D16" s="6" t="str">
        <x:v>codex-evidence-review-v1</x:v>
      </x:c>
      <x:c r="E16" s="22" t="n">
        <x:v>46244.40206471065</x:v>
      </x:c>
      <x:c r="F16" s="6" t="str">
        <x:v>20</x:v>
      </x:c>
      <x:c r="G16" s="20" t="str">
        <x:v>observed_counterfactual;severe_failure;terminal</x:v>
      </x:c>
      <x:c r="H16" s="20" t="str">
        <x:v>browsergym/miniwob.click-test-2</x:v>
      </x:c>
      <x:c r="I16" s="6" t="str">
        <x:v>browsergym/miniwob.click-test-2</x:v>
      </x:c>
      <x:c r="J16" s="6" t="str">
        <x:v>cf-click-test-2-seed1015-hard_wrong_target</x:v>
      </x:c>
      <x:c r="K16" s="6" t="str">
        <x:v>0</x:v>
      </x:c>
      <x:c r="L16" s="20" t="str">
        <x:v>Click button ONE.</x:v>
      </x:c>
      <x:c r="M16" s="20" t="str">
        <x:v>click("14", "left")</x:v>
      </x:c>
      <x:c r="N16" s="6" t="str">
        <x:v>0.0</x:v>
      </x:c>
      <x:c r="O16" s="20" t="str">
        <x:v>file:///root/autodl-tmp/miniwob-plusplus/miniwob/html/miniwob/click-test-2.html</x:v>
      </x:c>
      <x:c r="P16" s="20" t="str">
        <x:v>Click Test Task</x:v>
      </x:c>
      <x:c r="Q16" s="20" t="str">
        <x:v>RootWebArea 'Click Test Task', focused [13] button 'ONE', clickable [14] button 'TWO', clickable</x:v>
      </x:c>
      <x:c r="R16" s="20" t="str">
        <x:v>file:///root/autodl-tmp/miniwob-plusplus/miniwob/html/miniwob/click-test-2.html</x:v>
      </x:c>
      <x:c r="S16" s="20" t="str">
        <x:v>Click Test Task</x:v>
      </x:c>
      <x:c r="T16" s="20" t="str">
        <x:v>RootWebArea 'Click Test Task', focused [13] button 'ONE', clickable [14] button 'TWO', clickable, focused</x:v>
      </x:c>
      <x:c r="U16" s="6" t="str">
        <x:v>0</x:v>
      </x:c>
      <x:c r="V16" s="6" t="str">
        <x:v>0</x:v>
      </x:c>
      <x:c r="W16" s="6" t="str">
        <x:v>0</x:v>
      </x:c>
      <x:c r="X16" s="6" t="str">
        <x:v>1</x:v>
      </x:c>
      <x:c r="Y16" s="6" t="str">
        <x:v>0</x:v>
      </x:c>
      <x:c r="Z16" s="6" t="str">
        <x:v>1</x:v>
      </x:c>
      <x:c r="AA16" s="6" t="str">
        <x:v>0.0</x:v>
      </x:c>
      <x:c r="AB16" s="20" t="str">
        <x:v>Codex证据复核v1：原始记录唯一匹配、环境实测、反事实配对ID完整、终止且非成功、奖励非正、队列标签与结果派生规则一致；非人工签字。</x:v>
      </x:c>
    </x:row>
    <x:row r="17" ht="46" customHeight="1">
      <x:c r="A17" s="6" t="str">
        <x:v>1</x:v>
      </x:c>
      <x:c r="B17" s="6" t="str">
        <x:v>0b286f1be4b110c9a22f</x:v>
      </x:c>
      <x:c r="C17" s="6" t="str">
        <x:v>evidence_approved</x:v>
      </x:c>
      <x:c r="D17" s="6" t="str">
        <x:v>codex-evidence-review-v1</x:v>
      </x:c>
      <x:c r="E17" s="22" t="n">
        <x:v>46244.40206471065</x:v>
      </x:c>
      <x:c r="F17" s="6" t="str">
        <x:v>20</x:v>
      </x:c>
      <x:c r="G17" s="20" t="str">
        <x:v>observed_counterfactual;severe_failure;terminal</x:v>
      </x:c>
      <x:c r="H17" s="20" t="str">
        <x:v>browsergym/miniwob.choose-list</x:v>
      </x:c>
      <x:c r="I17" s="6" t="str">
        <x:v>browsergym/miniwob.choose-list</x:v>
      </x:c>
      <x:c r="J17" s="6" t="str">
        <x:v>cf-choose-list-seed1035-wrong_action_type</x:v>
      </x:c>
      <x:c r="K17" s="6" t="str">
        <x:v>0</x:v>
      </x:c>
      <x:c r="L17" s="20" t="str">
        <x:v>Select Liberia from the list and click Submit.</x:v>
      </x:c>
      <x:c r="M17" s="20" t="str">
        <x:v>click("19", "left")</x:v>
      </x:c>
      <x:c r="N17" s="6" t="str">
        <x:v>0.0</x:v>
      </x:c>
      <x:c r="O17" s="20" t="str">
        <x:v>file:///root/autodl-tmp/miniwob-plusplus/miniwob/html/miniwob/choose-list.html</x:v>
      </x:c>
      <x:c r="P17" s="20" t="str">
        <x:v>Choose List Task</x:v>
      </x:c>
      <x:c r="Q17" s="20" t="str">
        <x:v>RootWebArea 'Choose List Task', focused [13] combobox '' value='Bolivia', hasPopup='menu', expanded=False [19] button 'Submit', clickable</x:v>
      </x:c>
      <x:c r="R17" s="20" t="str">
        <x:v>file:///root/autodl-tmp/miniwob-plusplus/miniwob/html/miniwob/choose-list.html</x:v>
      </x:c>
      <x:c r="S17" s="20" t="str">
        <x:v>Choose List Task</x:v>
      </x:c>
      <x:c r="T17" s="20" t="str">
        <x:v>RootWebArea 'Choose List Task', focused [13] combobox '' value='Bolivia', hasPopup='menu', expanded=False [19] button 'Submit', clickable, focused</x:v>
      </x:c>
      <x:c r="U17" s="6" t="str">
        <x:v>0</x:v>
      </x:c>
      <x:c r="V17" s="6" t="str">
        <x:v>0</x:v>
      </x:c>
      <x:c r="W17" s="6" t="str">
        <x:v>0</x:v>
      </x:c>
      <x:c r="X17" s="6" t="str">
        <x:v>1</x:v>
      </x:c>
      <x:c r="Y17" s="6" t="str">
        <x:v>0</x:v>
      </x:c>
      <x:c r="Z17" s="6" t="str">
        <x:v>1</x:v>
      </x:c>
      <x:c r="AA17" s="6" t="str">
        <x:v>0.0</x:v>
      </x:c>
      <x:c r="AB17" s="20" t="str">
        <x:v>Codex证据复核v1：原始记录唯一匹配、环境实测、反事实配对ID完整、终止且非成功、奖励非正、队列标签与结果派生规则一致；非人工签字。</x:v>
      </x:c>
    </x:row>
    <x:row r="18" ht="46" customHeight="1">
      <x:c r="A18" s="6" t="str">
        <x:v>1</x:v>
      </x:c>
      <x:c r="B18" s="6" t="str">
        <x:v>1f1018079cf14f260e80</x:v>
      </x:c>
      <x:c r="C18" s="6" t="str">
        <x:v>evidence_approved</x:v>
      </x:c>
      <x:c r="D18" s="6" t="str">
        <x:v>codex-evidence-review-v1</x:v>
      </x:c>
      <x:c r="E18" s="22" t="n">
        <x:v>46244.40206471065</x:v>
      </x:c>
      <x:c r="F18" s="6" t="str">
        <x:v>20</x:v>
      </x:c>
      <x:c r="G18" s="20" t="str">
        <x:v>observed_counterfactual;severe_failure;terminal</x:v>
      </x:c>
      <x:c r="H18" s="20" t="str">
        <x:v>browsergym/miniwob.click-checkboxes-soft</x:v>
      </x:c>
      <x:c r="I18" s="6" t="str">
        <x:v>browsergym/miniwob.click-checkboxes-soft</x:v>
      </x:c>
      <x:c r="J18" s="6" t="str">
        <x:v>cf-click-checkboxes-soft-seed1017-wrong_action_type</x:v>
      </x:c>
      <x:c r="K18" s="6" t="str">
        <x:v>0</x:v>
      </x:c>
      <x:c r="L18" s="20" t="str">
        <x:v>Select words similar to sustain, savory, slice, swine and click Submit.</x:v>
      </x:c>
      <x:c r="M18" s="20" t="str">
        <x:v>click("36", "left")</x:v>
      </x:c>
      <x:c r="N18" s="6" t="str">
        <x:v>0.0</x:v>
      </x:c>
      <x:c r="O18" s="20" t="str">
        <x:v>file:///root/autodl-tmp/miniwob-plusplus/miniwob/html/miniwob/click-checkboxes-soft.html</x:v>
      </x:c>
      <x:c r="P18" s="20" t="str">
        <x:v>Click Checkboxes Task</x:v>
      </x:c>
      <x:c r="Q18" s="20" t="str">
        <x:v>RootWebArea 'Click Checkboxes Task', focused [17] LabelText '', clickable [18] checkbox 'hide', clickable, checked='false' StaticText 'hide' [20] LabelText '', clickable [21] checkbox 'delicious', clickable, checked='false' StaticText 'delicious' [23] LabelText '', clickable [24] checkbox 'funny', clickable, checked='false' StaticText 'funny' [26] LabelText '', clickable [27] checkbox 'pig', clickable, checked='false' StaticText 'pig' [29] LabelText '', clickable [30] checkbox 'chop', clickable, checked='false' StaticText 'chop' [32] LabelText '', clickable [33] checkbox 'preserve', clickable, checked='false' StaticText 'preserve' [36] button 'Submit', clickable</x:v>
      </x:c>
      <x:c r="R18" s="20" t="str">
        <x:v>file:///root/autodl-tmp/miniwob-plusplus/miniwob/html/miniwob/click-checkboxes-soft.html</x:v>
      </x:c>
      <x:c r="S18" s="20" t="str">
        <x:v>Click Checkboxes Task</x:v>
      </x:c>
      <x:c r="T18" s="20" t="str">
        <x:v>RootWebArea 'Click Checkboxes Task', focused [17] LabelText '', clickable [18] checkbox 'hide', clickable, checked='false' StaticText 'hide' [20] LabelText '', clickable [21] checkbox 'delicious', clickable, checked='false' StaticText 'delicious' [23] LabelText '', clickable [24] checkbox 'funny', clickable, checked='false' StaticText 'funny' [26] LabelText '', clickable [27] checkbox 'pig', clickable, checked='false' StaticText 'pig' [29] LabelText '', clickable [30] checkbox 'chop', clickable, checked='false' StaticText 'chop' [32] LabelText '', clickable [33] checkbox 'preserve', clickable, checked='false' StaticText 'preserve' [36] button 'Submit', clickable, focused</x:v>
      </x:c>
      <x:c r="U18" s="6" t="str">
        <x:v>0</x:v>
      </x:c>
      <x:c r="V18" s="6" t="str">
        <x:v>0</x:v>
      </x:c>
      <x:c r="W18" s="6" t="str">
        <x:v>0</x:v>
      </x:c>
      <x:c r="X18" s="6" t="str">
        <x:v>1</x:v>
      </x:c>
      <x:c r="Y18" s="6" t="str">
        <x:v>0</x:v>
      </x:c>
      <x:c r="Z18" s="6" t="str">
        <x:v>1</x:v>
      </x:c>
      <x:c r="AA18" s="6" t="str">
        <x:v>0.0</x:v>
      </x:c>
      <x:c r="AB18" s="20" t="str">
        <x:v>Codex证据复核v1：原始记录唯一匹配、环境实测、反事实配对ID完整、终止且非成功、奖励非正、队列标签与结果派生规则一致；非人工签字。</x:v>
      </x:c>
    </x:row>
    <x:row r="19" ht="46" customHeight="1">
      <x:c r="A19" s="6" t="str">
        <x:v>1</x:v>
      </x:c>
      <x:c r="B19" s="6" t="str">
        <x:v>a16a00e637142833780c</x:v>
      </x:c>
      <x:c r="C19" s="6" t="str">
        <x:v>evidence_approved</x:v>
      </x:c>
      <x:c r="D19" s="6" t="str">
        <x:v>codex-evidence-review-v1</x:v>
      </x:c>
      <x:c r="E19" s="22" t="n">
        <x:v>46244.40206471065</x:v>
      </x:c>
      <x:c r="F19" s="6" t="str">
        <x:v>20</x:v>
      </x:c>
      <x:c r="G19" s="20" t="str">
        <x:v>observed_counterfactual;severe_failure;terminal</x:v>
      </x:c>
      <x:c r="H19" s="20" t="str">
        <x:v>browsergym/miniwob.click-widget</x:v>
      </x:c>
      <x:c r="I19" s="6" t="str">
        <x:v>browsergym/miniwob.click-widget</x:v>
      </x:c>
      <x:c r="J19" s="6" t="str">
        <x:v>cf-click-widget-seed1010-hard_wrong_target</x:v>
      </x:c>
      <x:c r="K19" s="6" t="str">
        <x:v>0</x:v>
      </x:c>
      <x:c r="L19" s="20" t="str">
        <x:v>Click on a "textarea" widget.</x:v>
      </x:c>
      <x:c r="M19" s="20" t="str">
        <x:v>click("24", "left")</x:v>
      </x:c>
      <x:c r="N19" s="6" t="str">
        <x:v>0.0</x:v>
      </x:c>
      <x:c r="O19" s="20" t="str">
        <x:v>file:///root/autodl-tmp/miniwob-plusplus/miniwob/html/miniwob/click-widget.html</x:v>
      </x:c>
      <x:c r="P19" s="20" t="str">
        <x:v>Click Widget Task</x:v>
      </x:c>
      <x:c r="Q19"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x:v>
      </x:c>
      <x:c r="R19" s="20" t="str">
        <x:v>file:///root/autodl-tmp/miniwob-plusplus/miniwob/html/miniwob/click-widget.html</x:v>
      </x:c>
      <x:c r="S19" s="20" t="str">
        <x:v>Click Widget Task</x:v>
      </x:c>
      <x:c r="T19"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 focused</x:v>
      </x:c>
      <x:c r="U19" s="6" t="str">
        <x:v>0</x:v>
      </x:c>
      <x:c r="V19" s="6" t="str">
        <x:v>0</x:v>
      </x:c>
      <x:c r="W19" s="6" t="str">
        <x:v>0</x:v>
      </x:c>
      <x:c r="X19" s="6" t="str">
        <x:v>1</x:v>
      </x:c>
      <x:c r="Y19" s="6" t="str">
        <x:v>0</x:v>
      </x:c>
      <x:c r="Z19" s="6" t="str">
        <x:v>1</x:v>
      </x:c>
      <x:c r="AA19" s="6" t="str">
        <x:v>0.0</x:v>
      </x:c>
      <x:c r="AB19" s="20" t="str">
        <x:v>Codex证据复核v1：原始记录唯一匹配、环境实测、反事实配对ID完整、终止且非成功、奖励非正、队列标签与结果派生规则一致；非人工签字。</x:v>
      </x:c>
    </x:row>
    <x:row r="20" ht="46" customHeight="1">
      <x:c r="A20" s="6" t="str">
        <x:v>1</x:v>
      </x:c>
      <x:c r="B20" s="6" t="str">
        <x:v>80c16278574443c6a1b8</x:v>
      </x:c>
      <x:c r="C20" s="6" t="str">
        <x:v>evidence_approved</x:v>
      </x:c>
      <x:c r="D20" s="6" t="str">
        <x:v>codex-evidence-review-v1</x:v>
      </x:c>
      <x:c r="E20" s="22" t="n">
        <x:v>46244.40206471065</x:v>
      </x:c>
      <x:c r="F20" s="6" t="str">
        <x:v>20</x:v>
      </x:c>
      <x:c r="G20" s="20" t="str">
        <x:v>observed_counterfactual;severe_failure;terminal</x:v>
      </x:c>
      <x:c r="H20" s="20" t="str">
        <x:v>browsergym/miniwob.click-test-2</x:v>
      </x:c>
      <x:c r="I20" s="6" t="str">
        <x:v>browsergym/miniwob.click-test-2</x:v>
      </x:c>
      <x:c r="J20" s="6" t="str">
        <x:v>cf-click-test-2-seed1007-hard_wrong_target</x:v>
      </x:c>
      <x:c r="K20" s="6" t="str">
        <x:v>0</x:v>
      </x:c>
      <x:c r="L20" s="20" t="str">
        <x:v>Click button ONE.</x:v>
      </x:c>
      <x:c r="M20" s="20" t="str">
        <x:v>click("14", "left")</x:v>
      </x:c>
      <x:c r="N20" s="6" t="str">
        <x:v>0.0</x:v>
      </x:c>
      <x:c r="O20" s="20" t="str">
        <x:v>file:///root/autodl-tmp/miniwob-plusplus/miniwob/html/miniwob/click-test-2.html</x:v>
      </x:c>
      <x:c r="P20" s="20" t="str">
        <x:v>Click Test Task</x:v>
      </x:c>
      <x:c r="Q20" s="20" t="str">
        <x:v>RootWebArea 'Click Test Task', focused [13] button 'ONE', clickable [14] button 'TWO', clickable</x:v>
      </x:c>
      <x:c r="R20" s="20" t="str">
        <x:v>file:///root/autodl-tmp/miniwob-plusplus/miniwob/html/miniwob/click-test-2.html</x:v>
      </x:c>
      <x:c r="S20" s="20" t="str">
        <x:v>Click Test Task</x:v>
      </x:c>
      <x:c r="T20" s="20" t="str">
        <x:v>RootWebArea 'Click Test Task', focused [13] button 'ONE', clickable [14] button 'TWO', clickable, focused</x:v>
      </x:c>
      <x:c r="U20" s="6" t="str">
        <x:v>0</x:v>
      </x:c>
      <x:c r="V20" s="6" t="str">
        <x:v>0</x:v>
      </x:c>
      <x:c r="W20" s="6" t="str">
        <x:v>0</x:v>
      </x:c>
      <x:c r="X20" s="6" t="str">
        <x:v>1</x:v>
      </x:c>
      <x:c r="Y20" s="6" t="str">
        <x:v>0</x:v>
      </x:c>
      <x:c r="Z20" s="6" t="str">
        <x:v>1</x:v>
      </x:c>
      <x:c r="AA20" s="6" t="str">
        <x:v>0.0</x:v>
      </x:c>
      <x:c r="AB20" s="20" t="str">
        <x:v>Codex证据复核v1：原始记录唯一匹配、环境实测、反事实配对ID完整、终止且非成功、奖励非正、队列标签与结果派生规则一致；非人工签字。</x:v>
      </x:c>
    </x:row>
    <x:row r="21" ht="46" customHeight="1">
      <x:c r="A21" s="6" t="str">
        <x:v>1</x:v>
      </x:c>
      <x:c r="B21" s="6" t="str">
        <x:v>fa8ab2bb917ba51cdadf</x:v>
      </x:c>
      <x:c r="C21" s="6" t="str">
        <x:v>evidence_approved</x:v>
      </x:c>
      <x:c r="D21" s="6" t="str">
        <x:v>codex-evidence-review-v1</x:v>
      </x:c>
      <x:c r="E21" s="22" t="n">
        <x:v>46244.40206471065</x:v>
      </x:c>
      <x:c r="F21" s="6" t="str">
        <x:v>20</x:v>
      </x:c>
      <x:c r="G21" s="20" t="str">
        <x:v>observed_counterfactual;severe_failure;terminal</x:v>
      </x:c>
      <x:c r="H21" s="20" t="str">
        <x:v>browsergym/miniwob.choose-list</x:v>
      </x:c>
      <x:c r="I21" s="6" t="str">
        <x:v>browsergym/miniwob.choose-list</x:v>
      </x:c>
      <x:c r="J21" s="6" t="str">
        <x:v>cf-choose-list-seed1003-hard_wrong_target</x:v>
      </x:c>
      <x:c r="K21" s="6" t="str">
        <x:v>0</x:v>
      </x:c>
      <x:c r="L21" s="20" t="str">
        <x:v>Select Libbie from the list and click Submit.</x:v>
      </x:c>
      <x:c r="M21" s="20" t="str">
        <x:v>click("19", "left")</x:v>
      </x:c>
      <x:c r="N21" s="6" t="str">
        <x:v>0.0</x:v>
      </x:c>
      <x:c r="O21" s="20" t="str">
        <x:v>file:///root/autodl-tmp/miniwob-plusplus/miniwob/html/miniwob/choose-list.html</x:v>
      </x:c>
      <x:c r="P21" s="20" t="str">
        <x:v>Choose List Task</x:v>
      </x:c>
      <x:c r="Q21" s="20" t="str">
        <x:v>RootWebArea 'Choose List Task', focused [13] combobox '' value='Drucie', hasPopup='menu', expanded=False [19] button 'Submit', clickable</x:v>
      </x:c>
      <x:c r="R21" s="20" t="str">
        <x:v>file:///root/autodl-tmp/miniwob-plusplus/miniwob/html/miniwob/choose-list.html</x:v>
      </x:c>
      <x:c r="S21" s="20" t="str">
        <x:v>Choose List Task</x:v>
      </x:c>
      <x:c r="T21" s="20" t="str">
        <x:v>RootWebArea 'Choose List Task', focused [13] combobox '' value='Drucie', hasPopup='menu', expanded=False [19] button 'Submit', clickable, focused</x:v>
      </x:c>
      <x:c r="U21" s="6" t="str">
        <x:v>0</x:v>
      </x:c>
      <x:c r="V21" s="6" t="str">
        <x:v>0</x:v>
      </x:c>
      <x:c r="W21" s="6" t="str">
        <x:v>0</x:v>
      </x:c>
      <x:c r="X21" s="6" t="str">
        <x:v>1</x:v>
      </x:c>
      <x:c r="Y21" s="6" t="str">
        <x:v>0</x:v>
      </x:c>
      <x:c r="Z21" s="6" t="str">
        <x:v>1</x:v>
      </x:c>
      <x:c r="AA21" s="6" t="str">
        <x:v>0.0</x:v>
      </x:c>
      <x:c r="AB21" s="20" t="str">
        <x:v>Codex证据复核v1：原始记录唯一匹配、环境实测、反事实配对ID完整、终止且非成功、奖励非正、队列标签与结果派生规则一致；非人工签字。</x:v>
      </x:c>
    </x:row>
    <x:row r="22" ht="46" customHeight="1">
      <x:c r="A22" s="6" t="str">
        <x:v>1</x:v>
      </x:c>
      <x:c r="B22" s="6" t="str">
        <x:v>9791d24871533670535f</x:v>
      </x:c>
      <x:c r="C22" s="6" t="str">
        <x:v>evidence_approved</x:v>
      </x:c>
      <x:c r="D22" s="6" t="str">
        <x:v>codex-evidence-review-v1</x:v>
      </x:c>
      <x:c r="E22" s="22" t="n">
        <x:v>46244.40206471065</x:v>
      </x:c>
      <x:c r="F22" s="6" t="str">
        <x:v>20</x:v>
      </x:c>
      <x:c r="G22" s="20" t="str">
        <x:v>observed_counterfactual;severe_failure;terminal</x:v>
      </x:c>
      <x:c r="H22" s="20" t="str">
        <x:v>browsergym/miniwob.click-checkboxes-soft</x:v>
      </x:c>
      <x:c r="I22" s="6" t="str">
        <x:v>browsergym/miniwob.click-checkboxes-soft</x:v>
      </x:c>
      <x:c r="J22" s="6" t="str">
        <x:v>cf-click-checkboxes-soft-seed1013-hard_wrong_target</x:v>
      </x:c>
      <x:c r="K22" s="6" t="str">
        <x:v>0</x:v>
      </x:c>
      <x:c r="L22" s="20" t="str">
        <x:v>Select words similar to homes, appetizing, actual and click Submit.</x:v>
      </x:c>
      <x:c r="M22" s="20" t="str">
        <x:v>click("33", "left")</x:v>
      </x:c>
      <x:c r="N22" s="6" t="str">
        <x:v>0.0</x:v>
      </x:c>
      <x:c r="O22" s="20" t="str">
        <x:v>file:///root/autodl-tmp/miniwob-plusplus/miniwob/html/miniwob/click-checkboxes-soft.html</x:v>
      </x:c>
      <x:c r="P22" s="20" t="str">
        <x:v>Click Checkboxes Task</x:v>
      </x:c>
      <x:c r="Q22" s="20" t="str">
        <x:v>RootWebArea 'Click Checkboxes Task', focused [17] LabelText '', clickable [18] checkbox 'appetizing', clickable, checked='false' StaticText 'appetizing' [20] LabelText '', clickable [21] checkbox 'home', clickable, checked='false' StaticText 'home' [23] LabelText '', clickable [24] checkbox 'dull', clickable, checked='false' StaticText 'dull' [26] LabelText '', clickable [27] checkbox 'evil', clickable, checked='false' StaticText 'evil' [29] LabelText '', clickable [30] checkbox 'genuine', clickable, checked='false' StaticText 'genuine' [33] button 'Submit', clickable</x:v>
      </x:c>
      <x:c r="R22" s="20" t="str">
        <x:v>file:///root/autodl-tmp/miniwob-plusplus/miniwob/html/miniwob/click-checkboxes-soft.html</x:v>
      </x:c>
      <x:c r="S22" s="20" t="str">
        <x:v>Click Checkboxes Task</x:v>
      </x:c>
      <x:c r="T22" s="20" t="str">
        <x:v>RootWebArea 'Click Checkboxes Task', focused [17] LabelText '', clickable [18] checkbox 'appetizing', clickable, checked='false' StaticText 'appetizing' [20] LabelText '', clickable [21] checkbox 'home', clickable, checked='false' StaticText 'home' [23] LabelText '', clickable [24] checkbox 'dull', clickable, checked='false' StaticText 'dull' [26] LabelText '', clickable [27] checkbox 'evil', clickable, checked='false' StaticText 'evil' [29] LabelText '', clickable [30] checkbox 'genuine', clickable, checked='false' StaticText 'genuine' [33] button 'Submit', clickable, focused</x:v>
      </x:c>
      <x:c r="U22" s="6" t="str">
        <x:v>0</x:v>
      </x:c>
      <x:c r="V22" s="6" t="str">
        <x:v>0</x:v>
      </x:c>
      <x:c r="W22" s="6" t="str">
        <x:v>0</x:v>
      </x:c>
      <x:c r="X22" s="6" t="str">
        <x:v>1</x:v>
      </x:c>
      <x:c r="Y22" s="6" t="str">
        <x:v>0</x:v>
      </x:c>
      <x:c r="Z22" s="6" t="str">
        <x:v>1</x:v>
      </x:c>
      <x:c r="AA22" s="6" t="str">
        <x:v>0.0</x:v>
      </x:c>
      <x:c r="AB22" s="20" t="str">
        <x:v>Codex证据复核v1：原始记录唯一匹配、环境实测、反事实配对ID完整、终止且非成功、奖励非正、队列标签与结果派生规则一致；非人工签字。</x:v>
      </x:c>
    </x:row>
    <x:row r="23" ht="46" customHeight="1">
      <x:c r="A23" s="6" t="str">
        <x:v>1</x:v>
      </x:c>
      <x:c r="B23" s="6" t="str">
        <x:v>dc04be494a48b1f8336f</x:v>
      </x:c>
      <x:c r="C23" s="6" t="str">
        <x:v>evidence_approved</x:v>
      </x:c>
      <x:c r="D23" s="6" t="str">
        <x:v>codex-evidence-review-v1</x:v>
      </x:c>
      <x:c r="E23" s="22" t="n">
        <x:v>46244.40206471065</x:v>
      </x:c>
      <x:c r="F23" s="6" t="str">
        <x:v>20</x:v>
      </x:c>
      <x:c r="G23" s="20" t="str">
        <x:v>observed_counterfactual;severe_failure;terminal</x:v>
      </x:c>
      <x:c r="H23" s="20" t="str">
        <x:v>browsergym/miniwob.enter-text</x:v>
      </x:c>
      <x:c r="I23" s="6" t="str">
        <x:v>browsergym/miniwob.enter-text</x:v>
      </x:c>
      <x:c r="J23" s="6" t="str">
        <x:v>cf-enter-text-seed1019-hard_wrong_target</x:v>
      </x:c>
      <x:c r="K23" s="6" t="str">
        <x:v>0</x:v>
      </x:c>
      <x:c r="L23" s="20" t="str">
        <x:v>Enter "Tora" into the text field and press Submit.</x:v>
      </x:c>
      <x:c r="M23" s="20" t="str">
        <x:v>click("15", "left")</x:v>
      </x:c>
      <x:c r="N23" s="6" t="str">
        <x:v>0.0</x:v>
      </x:c>
      <x:c r="O23" s="20" t="str">
        <x:v>file:///root/autodl-tmp/miniwob-plusplus/miniwob/html/miniwob/enter-text.html</x:v>
      </x:c>
      <x:c r="P23" s="20" t="str">
        <x:v>Enter Text Task</x:v>
      </x:c>
      <x:c r="Q23" s="20" t="str">
        <x:v>RootWebArea 'Enter Text Task', focused [14] textbox '', clickable [15] button 'Submit', clickable</x:v>
      </x:c>
      <x:c r="R23" s="20" t="str">
        <x:v>file:///root/autodl-tmp/miniwob-plusplus/miniwob/html/miniwob/enter-text.html</x:v>
      </x:c>
      <x:c r="S23" s="20" t="str">
        <x:v>Enter Text Task</x:v>
      </x:c>
      <x:c r="T23" s="20" t="str">
        <x:v>RootWebArea 'Enter Text Task', focused [14] textbox '', clickable [15] button 'Submit', clickable, focused</x:v>
      </x:c>
      <x:c r="U23" s="6" t="str">
        <x:v>0</x:v>
      </x:c>
      <x:c r="V23" s="6" t="str">
        <x:v>0</x:v>
      </x:c>
      <x:c r="W23" s="6" t="str">
        <x:v>0</x:v>
      </x:c>
      <x:c r="X23" s="6" t="str">
        <x:v>1</x:v>
      </x:c>
      <x:c r="Y23" s="6" t="str">
        <x:v>0</x:v>
      </x:c>
      <x:c r="Z23" s="6" t="str">
        <x:v>1</x:v>
      </x:c>
      <x:c r="AA23" s="6" t="str">
        <x:v>0.0</x:v>
      </x:c>
      <x:c r="AB23" s="20" t="str">
        <x:v>Codex证据复核v1：原始记录唯一匹配、环境实测、反事实配对ID完整、终止且非成功、奖励非正、队列标签与结果派生规则一致；非人工签字。</x:v>
      </x:c>
    </x:row>
    <x:row r="24" ht="46" customHeight="1">
      <x:c r="A24" s="6" t="str">
        <x:v>1</x:v>
      </x:c>
      <x:c r="B24" s="6" t="str">
        <x:v>61b7612ffd482cef85e3</x:v>
      </x:c>
      <x:c r="C24" s="6" t="str">
        <x:v>evidence_approved</x:v>
      </x:c>
      <x:c r="D24" s="6" t="str">
        <x:v>codex-evidence-review-v1</x:v>
      </x:c>
      <x:c r="E24" s="22" t="n">
        <x:v>46244.40206471065</x:v>
      </x:c>
      <x:c r="F24" s="6" t="str">
        <x:v>20</x:v>
      </x:c>
      <x:c r="G24" s="20" t="str">
        <x:v>observed_counterfactual;severe_failure;terminal</x:v>
      </x:c>
      <x:c r="H24" s="20" t="str">
        <x:v>browsergym/miniwob.click-widget</x:v>
      </x:c>
      <x:c r="I24" s="6" t="str">
        <x:v>browsergym/miniwob.click-widget</x:v>
      </x:c>
      <x:c r="J24" s="6" t="str">
        <x:v>cf-click-widget-seed1037-hard_wrong_target</x:v>
      </x:c>
      <x:c r="K24" s="6" t="str">
        <x:v>0</x:v>
      </x:c>
      <x:c r="L24" s="20" t="str">
        <x:v>Click on a "text" widget.</x:v>
      </x:c>
      <x:c r="M24" s="20" t="str">
        <x:v>click("17", "left")</x:v>
      </x:c>
      <x:c r="N24" s="6" t="str">
        <x:v>0.0</x:v>
      </x:c>
      <x:c r="O24" s="20" t="str">
        <x:v>file:///root/autodl-tmp/miniwob-plusplus/miniwob/html/miniwob/click-widget.html</x:v>
      </x:c>
      <x:c r="P24" s="20" t="str">
        <x:v>Click Widget Task</x:v>
      </x:c>
      <x:c r="Q24" s="20" t="str">
        <x:v>RootWebArea 'Click Widget Task', focused [14] LabelText '', clickable [15] checkbox 'vLi', clickable, checked='false' StaticText 'vLi' [17] button 'gl' [19] textbox '' value='4oc', clickable StaticText '4oc' [21] textbox '' value='Ncd', clickable StaticText 'Ncd' [23] textbox '' value='zU', clickable StaticText 'zU'</x:v>
      </x:c>
      <x:c r="R24" s="20" t="str">
        <x:v>file:///root/autodl-tmp/miniwob-plusplus/miniwob/html/miniwob/click-widget.html</x:v>
      </x:c>
      <x:c r="S24" s="20" t="str">
        <x:v>Click Widget Task</x:v>
      </x:c>
      <x:c r="T24" s="20" t="str">
        <x:v>RootWebArea 'Click Widget Task', focused [14] LabelText '', clickable [15] checkbox 'vLi', clickable, checked='false' StaticText 'vLi' [17] button 'gl', focused [19] textbox '' value='4oc', clickable StaticText '4oc' [21] textbox '' value='Ncd', clickable StaticText 'Ncd' [23] textbox '' value='zU', clickable StaticText 'zU'</x:v>
      </x:c>
      <x:c r="U24" s="6" t="str">
        <x:v>0</x:v>
      </x:c>
      <x:c r="V24" s="6" t="str">
        <x:v>0</x:v>
      </x:c>
      <x:c r="W24" s="6" t="str">
        <x:v>0</x:v>
      </x:c>
      <x:c r="X24" s="6" t="str">
        <x:v>1</x:v>
      </x:c>
      <x:c r="Y24" s="6" t="str">
        <x:v>0</x:v>
      </x:c>
      <x:c r="Z24" s="6" t="str">
        <x:v>1</x:v>
      </x:c>
      <x:c r="AA24" s="6" t="str">
        <x:v>0.0</x:v>
      </x:c>
      <x:c r="AB24" s="20" t="str">
        <x:v>Codex证据复核v1：原始记录唯一匹配、环境实测、反事实配对ID完整、终止且非成功、奖励非正、队列标签与结果派生规则一致；非人工签字。</x:v>
      </x:c>
    </x:row>
    <x:row r="25" ht="46" customHeight="1">
      <x:c r="A25" s="6" t="str">
        <x:v>1</x:v>
      </x:c>
      <x:c r="B25" s="6" t="str">
        <x:v>8aa55ad1facde53e2841</x:v>
      </x:c>
      <x:c r="C25" s="6" t="str">
        <x:v>evidence_approved</x:v>
      </x:c>
      <x:c r="D25" s="6" t="str">
        <x:v>codex-evidence-review-v1</x:v>
      </x:c>
      <x:c r="E25" s="22" t="n">
        <x:v>46244.40206471065</x:v>
      </x:c>
      <x:c r="F25" s="6" t="str">
        <x:v>20</x:v>
      </x:c>
      <x:c r="G25" s="20" t="str">
        <x:v>observed_counterfactual;severe_failure;terminal</x:v>
      </x:c>
      <x:c r="H25" s="20" t="str">
        <x:v>browsergym/miniwob.scroll-text</x:v>
      </x:c>
      <x:c r="I25" s="6" t="str">
        <x:v>browsergym/miniwob.scroll-text</x:v>
      </x:c>
      <x:c r="J25" s="6" t="str">
        <x:v>cf-scroll-text-seed1013-hard_wrong_target</x:v>
      </x:c>
      <x:c r="K25" s="6" t="str">
        <x:v>0</x:v>
      </x:c>
      <x:c r="L25" s="20" t="str">
        <x:v>Find the last word in the text area, enter it into the text field and hit Submit.</x:v>
      </x:c>
      <x:c r="M25" s="20" t="str">
        <x:v>click("15", "left")</x:v>
      </x:c>
      <x:c r="N25" s="6" t="str">
        <x:v>0.0</x:v>
      </x:c>
      <x:c r="O25" s="20" t="str">
        <x:v>file:///root/autodl-tmp/miniwob-plusplus/miniwob/html/miniwob/scroll-text.html</x:v>
      </x:c>
      <x:c r="P25" s="20" t="str">
        <x:v>Scroll Text Task</x:v>
      </x:c>
      <x:c r="Q25" s="20" t="str">
        <x:v>RootWebArea 'Scroll Text Task', focused [13] textbox '' value='Vitae. Tortor, id odio. Porttitor. Orci. Mauris. Ultricies parturient ante non sollicitudin. Dignissim donec. Sit duis mauris,. Consectetur sit elementum nisl justo,. Proin semper nullam nulla adipiscing enim, fringilla sagittis massa. Sagittis aliquam placerat fringilla diam amet, sapien at id tortor. Placerat purus et tempus mi. Feugiat purus pulvinar ut ultrices. Velit commodo, amet rhoncus molestie quis tellus,. Eget tellus molestie tristique augue. Sapien, at. Elit vitae sapien nam nec interdum adipiscing dolor sed rhoncus eget quam. Morbi ac ridiculus iaculis al… StaticText 'Vitae. Tortor, id odio. Porttitor. Orci. Mauris. Ultricies parturient ante non sollicitudin. Dignissim donec. Sit duis mauris,. Consectetur sit elementum nisl justo,. Proin semper nullam nulla adipiscing enim, fringilla sagittis massa. Sagittis ali…</x:v>
      </x:c>
      <x:c r="R25" s="20" t="str">
        <x:v>file:///root/autodl-tmp/miniwob-plusplus/miniwob/html/miniwob/scroll-text.html</x:v>
      </x:c>
      <x:c r="S25" s="20" t="str">
        <x:v>Scroll Text Task</x:v>
      </x:c>
      <x:c r="T25" s="20" t="str">
        <x:v>RootWebArea 'Scroll Text Task', focused [13] textbox '' value='Vitae. Tortor, id odio. Porttitor. Orci. Mauris. Ultricies parturient ante non sollicitudin. Dignissim donec. Sit duis mauris,. Consectetur sit elementum nisl justo,. Proin semper nullam nulla adipiscing enim, fringilla sagittis massa. Sagittis aliquam placerat fringilla diam amet, sapien at id tortor. Placerat purus et tempus mi. Feugiat purus pulvinar ut ultrices. Velit commodo, amet rhoncus molestie quis tellus,. Eget tellus molestie tristique augue. Sapien, at. Elit vitae sapien nam nec interdum adipiscing dolor sed rhoncus eget quam. Morbi ac ridiculus iaculis al… StaticText 'Vitae. Tortor, id odio. Porttitor. Orci. Mauris. Ultricies parturient ante non sollicitudin. Dignissim donec. Sit duis mauris,. Consectetur sit elementum nisl justo,. Proin semper nullam nulla adipiscing enim, fringilla sagittis massa. Sagittis ali…</x:v>
      </x:c>
      <x:c r="U25" s="6" t="str">
        <x:v>0</x:v>
      </x:c>
      <x:c r="V25" s="6" t="str">
        <x:v>0</x:v>
      </x:c>
      <x:c r="W25" s="6" t="str">
        <x:v>0</x:v>
      </x:c>
      <x:c r="X25" s="6" t="str">
        <x:v>1</x:v>
      </x:c>
      <x:c r="Y25" s="6" t="str">
        <x:v>0</x:v>
      </x:c>
      <x:c r="Z25" s="6" t="str">
        <x:v>1</x:v>
      </x:c>
      <x:c r="AA25" s="6" t="str">
        <x:v>0.0</x:v>
      </x:c>
      <x:c r="AB25" s="20" t="str">
        <x:v>Codex证据复核v1：原始记录唯一匹配、环境实测、反事实配对ID完整、终止且非成功、奖励非正、队列标签与结果派生规则一致；非人工签字。</x:v>
      </x:c>
    </x:row>
    <x:row r="26" ht="46" customHeight="1">
      <x:c r="A26" s="6" t="str">
        <x:v>1</x:v>
      </x:c>
      <x:c r="B26" s="6" t="str">
        <x:v>e830d1e916ed16a459ad</x:v>
      </x:c>
      <x:c r="C26" s="6" t="str">
        <x:v>evidence_approved</x:v>
      </x:c>
      <x:c r="D26" s="6" t="str">
        <x:v>codex-evidence-review-v1</x:v>
      </x:c>
      <x:c r="E26" s="22" t="n">
        <x:v>46244.40206471065</x:v>
      </x:c>
      <x:c r="F26" s="6" t="str">
        <x:v>20</x:v>
      </x:c>
      <x:c r="G26" s="20" t="str">
        <x:v>observed_counterfactual;severe_failure;terminal</x:v>
      </x:c>
      <x:c r="H26" s="20" t="str">
        <x:v>browsergym/miniwob.click-widget</x:v>
      </x:c>
      <x:c r="I26" s="6" t="str">
        <x:v>browsergym/miniwob.click-widget</x:v>
      </x:c>
      <x:c r="J26" s="6" t="str">
        <x:v>cf-click-widget-seed1037-wrong_action_type</x:v>
      </x:c>
      <x:c r="K26" s="6" t="str">
        <x:v>0</x:v>
      </x:c>
      <x:c r="L26" s="20" t="str">
        <x:v>Click on a "text" widget.</x:v>
      </x:c>
      <x:c r="M26" s="20" t="str">
        <x:v>click("17", "left")</x:v>
      </x:c>
      <x:c r="N26" s="6" t="str">
        <x:v>0.0</x:v>
      </x:c>
      <x:c r="O26" s="20" t="str">
        <x:v>file:///root/autodl-tmp/miniwob-plusplus/miniwob/html/miniwob/click-widget.html</x:v>
      </x:c>
      <x:c r="P26" s="20" t="str">
        <x:v>Click Widget Task</x:v>
      </x:c>
      <x:c r="Q26" s="20" t="str">
        <x:v>RootWebArea 'Click Widget Task', focused [14] LabelText '', clickable [15] checkbox 'vLi', clickable, checked='false' StaticText 'vLi' [17] button 'gl' [19] textbox '' value='4oc', clickable StaticText '4oc' [21] textbox '' value='Ncd', clickable StaticText 'Ncd' [23] textbox '' value='zU', clickable StaticText 'zU'</x:v>
      </x:c>
      <x:c r="R26" s="20" t="str">
        <x:v>file:///root/autodl-tmp/miniwob-plusplus/miniwob/html/miniwob/click-widget.html</x:v>
      </x:c>
      <x:c r="S26" s="20" t="str">
        <x:v>Click Widget Task</x:v>
      </x:c>
      <x:c r="T26" s="20" t="str">
        <x:v>RootWebArea 'Click Widget Task', focused [14] LabelText '', clickable [15] checkbox 'vLi', clickable, checked='false' StaticText 'vLi' [17] button 'gl', focused [19] textbox '' value='4oc', clickable StaticText '4oc' [21] textbox '' value='Ncd', clickable StaticText 'Ncd' [23] textbox '' value='zU', clickable StaticText 'zU'</x:v>
      </x:c>
      <x:c r="U26" s="6" t="str">
        <x:v>0</x:v>
      </x:c>
      <x:c r="V26" s="6" t="str">
        <x:v>0</x:v>
      </x:c>
      <x:c r="W26" s="6" t="str">
        <x:v>0</x:v>
      </x:c>
      <x:c r="X26" s="6" t="str">
        <x:v>1</x:v>
      </x:c>
      <x:c r="Y26" s="6" t="str">
        <x:v>0</x:v>
      </x:c>
      <x:c r="Z26" s="6" t="str">
        <x:v>1</x:v>
      </x:c>
      <x:c r="AA26" s="6" t="str">
        <x:v>0.0</x:v>
      </x:c>
      <x:c r="AB26" s="20" t="str">
        <x:v>Codex证据复核v1：原始记录唯一匹配、环境实测、反事实配对ID完整、终止且非成功、奖励非正、队列标签与结果派生规则一致；非人工签字。</x:v>
      </x:c>
    </x:row>
    <x:row r="27" ht="46" customHeight="1">
      <x:c r="A27" s="6" t="str">
        <x:v>1</x:v>
      </x:c>
      <x:c r="B27" s="6" t="str">
        <x:v>0f6b5504b76c7e619df7</x:v>
      </x:c>
      <x:c r="C27" s="6" t="str">
        <x:v>evidence_approved</x:v>
      </x:c>
      <x:c r="D27" s="6" t="str">
        <x:v>codex-evidence-review-v1</x:v>
      </x:c>
      <x:c r="E27" s="22" t="n">
        <x:v>46244.40206471065</x:v>
      </x:c>
      <x:c r="F27" s="6" t="str">
        <x:v>20</x:v>
      </x:c>
      <x:c r="G27" s="20" t="str">
        <x:v>observed_counterfactual;severe_failure;terminal</x:v>
      </x:c>
      <x:c r="H27" s="20" t="str">
        <x:v>browsergym/miniwob.click-widget</x:v>
      </x:c>
      <x:c r="I27" s="6" t="str">
        <x:v>browsergym/miniwob.click-widget</x:v>
      </x:c>
      <x:c r="J27" s="6" t="str">
        <x:v>cf-click-widget-seed1007-hard_wrong_target</x:v>
      </x:c>
      <x:c r="K27" s="6" t="str">
        <x:v>0</x:v>
      </x:c>
      <x:c r="L27" s="20" t="str">
        <x:v>Click on a "textarea" widget.</x:v>
      </x:c>
      <x:c r="M27" s="20" t="str">
        <x:v>click("21", "left")</x:v>
      </x:c>
      <x:c r="N27" s="6" t="str">
        <x:v>0.0</x:v>
      </x:c>
      <x:c r="O27" s="20" t="str">
        <x:v>file:///root/autodl-tmp/miniwob-plusplus/miniwob/html/miniwob/click-widget.html</x:v>
      </x:c>
      <x:c r="P27" s="20" t="str">
        <x:v>Click Widget Task</x:v>
      </x:c>
      <x:c r="Q27" s="20" t="str">
        <x:v>RootWebArea 'Click Widget Task', focused [14] textbox '' value='jr' StaticText 'jr' [16] button 'K' [18] textbox '' value='QwRla', clickable StaticText 'QwRla' [20] LabelText '', clickable [21] checkbox '8', clickable, checked='false' StaticText '8' [23] textbox '' value='o9Pj' StaticText 'o9Pj'</x:v>
      </x:c>
      <x:c r="R27" s="20" t="str">
        <x:v>file:///root/autodl-tmp/miniwob-plusplus/miniwob/html/miniwob/click-widget.html</x:v>
      </x:c>
      <x:c r="S27" s="20" t="str">
        <x:v>Click Widget Task</x:v>
      </x:c>
      <x:c r="T27" s="20" t="str">
        <x:v>RootWebArea 'Click Widget Task', focused [14] textbox '' value='jr' StaticText 'jr' [16] button 'K' [18] textbox '' value='QwRla', clickable StaticText 'QwRla' [20] LabelText '', clickable [21] checkbox '8', clickable, focused, checked='true' StaticText '8' [23] textbox '' value='o9Pj' StaticText 'o9Pj'</x:v>
      </x:c>
      <x:c r="U27" s="6" t="str">
        <x:v>0</x:v>
      </x:c>
      <x:c r="V27" s="6" t="str">
        <x:v>0</x:v>
      </x:c>
      <x:c r="W27" s="6" t="str">
        <x:v>0</x:v>
      </x:c>
      <x:c r="X27" s="6" t="str">
        <x:v>1</x:v>
      </x:c>
      <x:c r="Y27" s="6" t="str">
        <x:v>0</x:v>
      </x:c>
      <x:c r="Z27" s="6" t="str">
        <x:v>1</x:v>
      </x:c>
      <x:c r="AA27" s="6" t="str">
        <x:v>0.0</x:v>
      </x:c>
      <x:c r="AB27" s="20" t="str">
        <x:v>Codex证据复核v1：原始记录唯一匹配、环境实测、反事实配对ID完整、终止且非成功、奖励非正、队列标签与结果派生规则一致；非人工签字。</x:v>
      </x:c>
    </x:row>
    <x:row r="28" ht="46" customHeight="1">
      <x:c r="A28" s="6" t="str">
        <x:v>1</x:v>
      </x:c>
      <x:c r="B28" s="6" t="str">
        <x:v>0e825efbfb7842140f1a</x:v>
      </x:c>
      <x:c r="C28" s="6" t="str">
        <x:v>evidence_approved</x:v>
      </x:c>
      <x:c r="D28" s="6" t="str">
        <x:v>codex-evidence-review-v1</x:v>
      </x:c>
      <x:c r="E28" s="22" t="n">
        <x:v>46244.40206471065</x:v>
      </x:c>
      <x:c r="F28" s="6" t="str">
        <x:v>20</x:v>
      </x:c>
      <x:c r="G28" s="20" t="str">
        <x:v>observed_counterfactual;severe_failure;terminal</x:v>
      </x:c>
      <x:c r="H28" s="20" t="str">
        <x:v>browsergym/miniwob.click-widget</x:v>
      </x:c>
      <x:c r="I28" s="6" t="str">
        <x:v>browsergym/miniwob.click-widget</x:v>
      </x:c>
      <x:c r="J28" s="6" t="str">
        <x:v>cf-click-widget-seed1036-hard_wrong_target</x:v>
      </x:c>
      <x:c r="K28" s="6" t="str">
        <x:v>0</x:v>
      </x:c>
      <x:c r="L28" s="20" t="str">
        <x:v>Click on a "text" widget.</x:v>
      </x:c>
      <x:c r="M28" s="20" t="str">
        <x:v>click("22", "left")</x:v>
      </x:c>
      <x:c r="N28" s="6" t="str">
        <x:v>0.0</x:v>
      </x:c>
      <x:c r="O28" s="20" t="str">
        <x:v>file:///root/autodl-tmp/miniwob-plusplus/miniwob/html/miniwob/click-widget.html</x:v>
      </x:c>
      <x:c r="P28" s="20" t="str">
        <x:v>Click Widget Task</x:v>
      </x:c>
      <x:c r="Q28" s="20" t="str">
        <x:v>RootWebArea 'Click Widget Task', focused [14] textbox '' value='4z', clickable StaticText '4z' [16] textbox '' value='iyM', clickable StaticText 'iyM' [18] LabelText '', clickable [19] radio 'jFHBl', clickable, checked='false' StaticText 'jFHBl' [21] LabelText '', clickable [22] checkbox '6hM8S', clickable, checked='false' StaticText '6hM8S' [24] LabelText '', clickable [25] radio 'gO', clickable, checked='false' StaticText 'gO'</x:v>
      </x:c>
      <x:c r="R28" s="20" t="str">
        <x:v>file:///root/autodl-tmp/miniwob-plusplus/miniwob/html/miniwob/click-widget.html</x:v>
      </x:c>
      <x:c r="S28" s="20" t="str">
        <x:v>Click Widget Task</x:v>
      </x:c>
      <x:c r="T28" s="20" t="str">
        <x:v>RootWebArea 'Click Widget Task', focused [14] textbox '' value='4z', clickable StaticText '4z' [16] textbox '' value='iyM', clickable StaticText 'iyM' [18] LabelText '', clickable [19] radio 'jFHBl', clickable, checked='false' StaticText 'jFHBl' [21] LabelText '', clickable [22] checkbox '6hM8S', clickable, focused, checked='true' StaticText '6hM8S' [24] LabelText '', clickable [25] radio 'gO', clickable, checked='false' StaticText 'gO'</x:v>
      </x:c>
      <x:c r="U28" s="6" t="str">
        <x:v>0</x:v>
      </x:c>
      <x:c r="V28" s="6" t="str">
        <x:v>0</x:v>
      </x:c>
      <x:c r="W28" s="6" t="str">
        <x:v>0</x:v>
      </x:c>
      <x:c r="X28" s="6" t="str">
        <x:v>1</x:v>
      </x:c>
      <x:c r="Y28" s="6" t="str">
        <x:v>0</x:v>
      </x:c>
      <x:c r="Z28" s="6" t="str">
        <x:v>1</x:v>
      </x:c>
      <x:c r="AA28" s="6" t="str">
        <x:v>0.0</x:v>
      </x:c>
      <x:c r="AB28" s="20" t="str">
        <x:v>Codex证据复核v1：原始记录唯一匹配、环境实测、反事实配对ID完整、终止且非成功、奖励非正、队列标签与结果派生规则一致；非人工签字。</x:v>
      </x:c>
    </x:row>
    <x:row r="29" ht="46" customHeight="1">
      <x:c r="A29" s="6" t="str">
        <x:v>1</x:v>
      </x:c>
      <x:c r="B29" s="6" t="str">
        <x:v>99115a96a8568402f0f9</x:v>
      </x:c>
      <x:c r="C29" s="6" t="str">
        <x:v>evidence_approved</x:v>
      </x:c>
      <x:c r="D29" s="6" t="str">
        <x:v>codex-evidence-review-v1</x:v>
      </x:c>
      <x:c r="E29" s="22" t="n">
        <x:v>46244.40206471065</x:v>
      </x:c>
      <x:c r="F29" s="6" t="str">
        <x:v>20</x:v>
      </x:c>
      <x:c r="G29" s="20" t="str">
        <x:v>observed_counterfactual;severe_failure;terminal</x:v>
      </x:c>
      <x:c r="H29" s="20" t="str">
        <x:v>browsergym/miniwob.click-dialog-2</x:v>
      </x:c>
      <x:c r="I29" s="6" t="str">
        <x:v>browsergym/miniwob.click-dialog-2</x:v>
      </x:c>
      <x:c r="J29" s="6" t="str">
        <x:v>cf-click-dialog-2-seed1011-hard_wrong_target</x:v>
      </x:c>
      <x:c r="K29" s="6" t="str">
        <x:v>0</x:v>
      </x:c>
      <x:c r="L29" s="20" t="str">
        <x:v>Click the button in the dialog box labeled "Cancel".</x:v>
      </x:c>
      <x:c r="M29" s="20" t="str">
        <x:v>click("20", "left")</x:v>
      </x:c>
      <x:c r="N29" s="6" t="str">
        <x:v>0.0</x:v>
      </x:c>
      <x:c r="O29" s="20" t="str">
        <x:v>file:///root/autodl-tmp/miniwob-plusplus/miniwob/html/miniwob/click-dialog-2.html</x:v>
      </x:c>
      <x:c r="P29" s="20" t="str">
        <x:v>Click Dialog Task</x:v>
      </x:c>
      <x:c r="Q29" s="20" t="str">
        <x:v>RootWebArea 'Click Dialog Task', focused [17] dialog '', clickable, modal=False, describedby='dialog' StaticText '' [20] button 'Close', clickable [24] paragraph '' StaticText 'Leo odio pharetra etiam.' [27] button 'Cancel', clickable, focused [28] button 'OK', clickable</x:v>
      </x:c>
      <x:c r="R29" s="20" t="str">
        <x:v>file:///root/autodl-tmp/miniwob-plusplus/miniwob/html/miniwob/click-dialog-2.html</x:v>
      </x:c>
      <x:c r="S29" s="20" t="str">
        <x:v>Click Dialog Task</x:v>
      </x:c>
      <x:c r="T29" s="20" t="str">
        <x:v>RootWebArea 'Click Dialog Task', focused</x:v>
      </x:c>
      <x:c r="U29" s="6" t="str">
        <x:v>0</x:v>
      </x:c>
      <x:c r="V29" s="6" t="str">
        <x:v>0</x:v>
      </x:c>
      <x:c r="W29" s="6" t="str">
        <x:v>0</x:v>
      </x:c>
      <x:c r="X29" s="6" t="str">
        <x:v>1</x:v>
      </x:c>
      <x:c r="Y29" s="6" t="str">
        <x:v>0</x:v>
      </x:c>
      <x:c r="Z29" s="6" t="str">
        <x:v>1</x:v>
      </x:c>
      <x:c r="AA29" s="6" t="str">
        <x:v>0.0</x:v>
      </x:c>
      <x:c r="AB29" s="20" t="str">
        <x:v>Codex证据复核v1：原始记录唯一匹配、环境实测、反事实配对ID完整、终止且非成功、奖励非正、队列标签与结果派生规则一致；非人工签字。</x:v>
      </x:c>
    </x:row>
    <x:row r="30" ht="46" customHeight="1">
      <x:c r="A30" s="6" t="str">
        <x:v>1</x:v>
      </x:c>
      <x:c r="B30" s="6" t="str">
        <x:v>30c66d5c5d31121e204d</x:v>
      </x:c>
      <x:c r="C30" s="6" t="str">
        <x:v>evidence_approved</x:v>
      </x:c>
      <x:c r="D30" s="6" t="str">
        <x:v>codex-evidence-review-v1</x:v>
      </x:c>
      <x:c r="E30" s="22" t="n">
        <x:v>46244.40206471065</x:v>
      </x:c>
      <x:c r="F30" s="6" t="str">
        <x:v>20</x:v>
      </x:c>
      <x:c r="G30" s="20" t="str">
        <x:v>observed_counterfactual;severe_failure;terminal</x:v>
      </x:c>
      <x:c r="H30" s="20" t="str">
        <x:v>browsergym/miniwob.login-user</x:v>
      </x:c>
      <x:c r="I30" s="6" t="str">
        <x:v>browsergym/miniwob.login-user</x:v>
      </x:c>
      <x:c r="J30" s="6" t="str">
        <x:v>cf-login-user-seed1023-hard_wrong_target</x:v>
      </x:c>
      <x:c r="K30" s="6" t="str">
        <x:v>0</x:v>
      </x:c>
      <x:c r="L30" s="20" t="str">
        <x:v>Enter the username "augus" and the password "Tg7Ck" into the text fields and press login.</x:v>
      </x:c>
      <x:c r="M30" s="20" t="str">
        <x:v>click("20", "left")</x:v>
      </x:c>
      <x:c r="N30" s="6" t="str">
        <x:v>0.0</x:v>
      </x:c>
      <x:c r="O30" s="20" t="str">
        <x:v>file:///root/autodl-tmp/miniwob-plusplus/miniwob/html/miniwob/login-user.html</x:v>
      </x:c>
      <x:c r="P30" s="20" t="str">
        <x:v>Login User Task</x:v>
      </x:c>
      <x:c r="Q30" s="20" t="str">
        <x:v>RootWebArea 'Login User Task', focused [14] paragraph '' [15] LabelText '' StaticText 'Username' [16] textbox '', clickable [17] paragraph '' [18] LabelText '' StaticText 'Password' [19] textbox '', clickable [20] button 'Login', clickable</x:v>
      </x:c>
      <x:c r="R30" s="20" t="str">
        <x:v>file:///root/autodl-tmp/miniwob-plusplus/miniwob/html/miniwob/login-user.html</x:v>
      </x:c>
      <x:c r="S30" s="20" t="str">
        <x:v>Login User Task</x:v>
      </x:c>
      <x:c r="T30" s="20" t="str">
        <x:v>RootWebArea 'Login User Task', focused [14] paragraph '' [15] LabelText '' StaticText 'Username' [16] textbox '', clickable [17] paragraph '' [18] LabelText '' StaticText 'Password' [19] textbox '', clickable [20] button 'Login', clickable, focused</x:v>
      </x:c>
      <x:c r="U30" s="6" t="str">
        <x:v>0</x:v>
      </x:c>
      <x:c r="V30" s="6" t="str">
        <x:v>0</x:v>
      </x:c>
      <x:c r="W30" s="6" t="str">
        <x:v>0</x:v>
      </x:c>
      <x:c r="X30" s="6" t="str">
        <x:v>1</x:v>
      </x:c>
      <x:c r="Y30" s="6" t="str">
        <x:v>0</x:v>
      </x:c>
      <x:c r="Z30" s="6" t="str">
        <x:v>1</x:v>
      </x:c>
      <x:c r="AA30" s="6" t="str">
        <x:v>0.0</x:v>
      </x:c>
      <x:c r="AB30" s="20" t="str">
        <x:v>Codex证据复核v1：原始记录唯一匹配、环境实测、反事实配对ID完整、终止且非成功、奖励非正、队列标签与结果派生规则一致；非人工签字。</x:v>
      </x:c>
    </x:row>
    <x:row r="31" ht="46" customHeight="1">
      <x:c r="A31" s="6" t="str">
        <x:v>1</x:v>
      </x:c>
      <x:c r="B31" s="6" t="str">
        <x:v>77a0dc83b70317a36214</x:v>
      </x:c>
      <x:c r="C31" s="6" t="str">
        <x:v>evidence_approved</x:v>
      </x:c>
      <x:c r="D31" s="6" t="str">
        <x:v>codex-evidence-review-v1</x:v>
      </x:c>
      <x:c r="E31" s="22" t="n">
        <x:v>46244.40206471065</x:v>
      </x:c>
      <x:c r="F31" s="6" t="str">
        <x:v>20</x:v>
      </x:c>
      <x:c r="G31" s="20" t="str">
        <x:v>observed_counterfactual;severe_failure;terminal</x:v>
      </x:c>
      <x:c r="H31" s="20" t="str">
        <x:v>browsergym/miniwob.click-button</x:v>
      </x:c>
      <x:c r="I31" s="6" t="str">
        <x:v>browsergym/miniwob.click-button</x:v>
      </x:c>
      <x:c r="J31" s="6" t="str">
        <x:v>cf-click-button-seed1009-hard_wrong_target</x:v>
      </x:c>
      <x:c r="K31" s="6" t="str">
        <x:v>0</x:v>
      </x:c>
      <x:c r="L31" s="20" t="str">
        <x:v>Click on the "cancel" button.</x:v>
      </x:c>
      <x:c r="M31" s="20" t="str">
        <x:v>click("14", "left")</x:v>
      </x:c>
      <x:c r="N31" s="6" t="str">
        <x:v>0.0</x:v>
      </x:c>
      <x:c r="O31" s="20" t="str">
        <x:v>file:///root/autodl-tmp/miniwob-plusplus/miniwob/html/miniwob/click-button.html</x:v>
      </x:c>
      <x:c r="P31" s="20" t="str">
        <x:v>Click Button Task</x:v>
      </x:c>
      <x:c r="Q31" s="20" t="str">
        <x:v>RootWebArea 'Click Button Task', focused StaticText 'urna purus sed' StaticText 'sit nunc, pellentesque' [14] button 'Cancel', clickable [15] textbox '', clickable [17] button 'cancel', clickable [19] textbox '', clickable</x:v>
      </x:c>
      <x:c r="R31" s="20" t="str">
        <x:v>file:///root/autodl-tmp/miniwob-plusplus/miniwob/html/miniwob/click-button.html</x:v>
      </x:c>
      <x:c r="S31" s="20" t="str">
        <x:v>Click Button Task</x:v>
      </x:c>
      <x:c r="T31" s="20" t="str">
        <x:v>RootWebArea 'Click Button Task', focused StaticText 'urna purus sed' StaticText 'sit nunc, pellentesque' [14] button 'Cancel', clickable, focused [15] textbox '', clickable [17] button 'cancel', clickable [19] textbox '', clickable</x:v>
      </x:c>
      <x:c r="U31" s="6" t="str">
        <x:v>0</x:v>
      </x:c>
      <x:c r="V31" s="6" t="str">
        <x:v>0</x:v>
      </x:c>
      <x:c r="W31" s="6" t="str">
        <x:v>0</x:v>
      </x:c>
      <x:c r="X31" s="6" t="str">
        <x:v>1</x:v>
      </x:c>
      <x:c r="Y31" s="6" t="str">
        <x:v>0</x:v>
      </x:c>
      <x:c r="Z31" s="6" t="str">
        <x:v>1</x:v>
      </x:c>
      <x:c r="AA31" s="6" t="str">
        <x:v>0.0</x:v>
      </x:c>
      <x:c r="AB31" s="20" t="str">
        <x:v>Codex证据复核v1：原始记录唯一匹配、环境实测、反事实配对ID完整、终止且非成功、奖励非正、队列标签与结果派生规则一致；非人工签字。</x:v>
      </x:c>
    </x:row>
    <x:row r="32" ht="46" customHeight="1">
      <x:c r="A32" s="6" t="str">
        <x:v>1</x:v>
      </x:c>
      <x:c r="B32" s="6" t="str">
        <x:v>f8d1bf2401bb1f95c0eb</x:v>
      </x:c>
      <x:c r="C32" s="6" t="str">
        <x:v>evidence_approved</x:v>
      </x:c>
      <x:c r="D32" s="6" t="str">
        <x:v>codex-evidence-review-v1</x:v>
      </x:c>
      <x:c r="E32" s="22" t="n">
        <x:v>46244.40206471065</x:v>
      </x:c>
      <x:c r="F32" s="6" t="str">
        <x:v>20</x:v>
      </x:c>
      <x:c r="G32" s="20" t="str">
        <x:v>observed_counterfactual;severe_failure;terminal</x:v>
      </x:c>
      <x:c r="H32" s="20" t="str">
        <x:v>browsergym/miniwob.click-menu</x:v>
      </x:c>
      <x:c r="I32" s="6" t="str">
        <x:v>browsergym/miniwob.click-menu</x:v>
      </x:c>
      <x:c r="J32" s="6" t="str">
        <x:v>cf-click-menu-seed1013-hard_wrong_target</x:v>
      </x:c>
      <x:c r="K32" s="6" t="str">
        <x:v>0</x:v>
      </x:c>
      <x:c r="L32" s="20" t="str">
        <x:v>Select Constantina&gt;Sharai</x:v>
      </x:c>
      <x:c r="M32" s="20" t="str">
        <x:v>click("27", "left")</x:v>
      </x:c>
      <x:c r="N32" s="6" t="str">
        <x:v>0.0</x:v>
      </x:c>
      <x:c r="O32" s="20" t="str">
        <x:v>file:///root/autodl-tmp/miniwob-plusplus/miniwob/html/miniwob/click-menu.html</x:v>
      </x:c>
      <x:c r="P32" s="20" t="str">
        <x:v>Click Menu Task</x:v>
      </x:c>
      <x:c r="Q32" s="20" t="str">
        <x:v>RootWebArea 'Click Menu Task', focused [17] menu '', clickable, orientation='vertical' image '' [19] menuitem 'Constantina', hasPopup='menu' image '' [27] menuitem 'Berti'</x:v>
      </x:c>
      <x:c r="R32" s="20" t="str">
        <x:v>file:///root/autodl-tmp/miniwob-plusplus/miniwob/html/miniwob/click-menu.html</x:v>
      </x:c>
      <x:c r="S32" s="20" t="str">
        <x:v>Click Menu Task</x:v>
      </x:c>
      <x:c r="T32" s="20" t="str">
        <x:v>RootWebArea 'Click Menu Task', focused [17] menu '', clickable, orientation='vertical' image '' [19] menuitem 'Constantina', hasPopup='menu' image '' [27] menuitem 'Berti'</x:v>
      </x:c>
      <x:c r="U32" s="6" t="str">
        <x:v>0</x:v>
      </x:c>
      <x:c r="V32" s="6" t="str">
        <x:v>0</x:v>
      </x:c>
      <x:c r="W32" s="6" t="str">
        <x:v>0</x:v>
      </x:c>
      <x:c r="X32" s="6" t="str">
        <x:v>1</x:v>
      </x:c>
      <x:c r="Y32" s="6" t="str">
        <x:v>0</x:v>
      </x:c>
      <x:c r="Z32" s="6" t="str">
        <x:v>1</x:v>
      </x:c>
      <x:c r="AA32" s="6" t="str">
        <x:v>0.0</x:v>
      </x:c>
      <x:c r="AB32" s="20" t="str">
        <x:v>Codex证据复核v1：原始记录唯一匹配、环境实测、反事实配对ID完整、终止且非成功、奖励非正、队列标签与结果派生规则一致；非人工签字。</x:v>
      </x:c>
    </x:row>
    <x:row r="33" ht="46" customHeight="1">
      <x:c r="A33" s="6" t="str">
        <x:v>1</x:v>
      </x:c>
      <x:c r="B33" s="6" t="str">
        <x:v>1ff214aba981eaef0f04</x:v>
      </x:c>
      <x:c r="C33" s="6" t="str">
        <x:v>evidence_approved</x:v>
      </x:c>
      <x:c r="D33" s="6" t="str">
        <x:v>codex-evidence-review-v1</x:v>
      </x:c>
      <x:c r="E33" s="22" t="n">
        <x:v>46244.40206471065</x:v>
      </x:c>
      <x:c r="F33" s="6" t="str">
        <x:v>20</x:v>
      </x:c>
      <x:c r="G33" s="20" t="str">
        <x:v>observed_counterfactual;severe_failure;terminal</x:v>
      </x:c>
      <x:c r="H33" s="20" t="str">
        <x:v>browsergym/miniwob.scroll-text</x:v>
      </x:c>
      <x:c r="I33" s="6" t="str">
        <x:v>browsergym/miniwob.scroll-text</x:v>
      </x:c>
      <x:c r="J33" s="6" t="str">
        <x:v>cf-scroll-text-seed1009-hard_wrong_target</x:v>
      </x:c>
      <x:c r="K33" s="6" t="str">
        <x:v>0</x:v>
      </x:c>
      <x:c r="L33" s="20" t="str">
        <x:v>Find the last word in the text area, enter it into the text field and hit Submit.</x:v>
      </x:c>
      <x:c r="M33" s="20" t="str">
        <x:v>click("15", "left")</x:v>
      </x:c>
      <x:c r="N33" s="6" t="str">
        <x:v>0.0</x:v>
      </x:c>
      <x:c r="O33" s="20" t="str">
        <x:v>file:///root/autodl-tmp/miniwob-plusplus/miniwob/html/miniwob/scroll-text.html</x:v>
      </x:c>
      <x:c r="P33" s="20" t="str">
        <x:v>Scroll Text Task</x:v>
      </x:c>
      <x:c r="Q33" s="20" t="str">
        <x:v>RootWebArea 'Scroll Text Task', focused [13] textbox '' value='Urna. Sed. Sit pellentesque duis. Sagittis, pulvinar vivamus ac diam amet malesuada neque varius eget vulputate tellus, id metus,. Venenatis nascetur.' StaticText 'Urna. Sed. Sit pellentesque duis. Sagittis, pulvinar vivamus ac diam amet malesuada neque varius eget vulputate tellus, id metus,. Venenatis nascetur.' [14] textbox '', clickable [15] button 'Submit', clickable</x:v>
      </x:c>
      <x:c r="R33" s="20" t="str">
        <x:v>file:///root/autodl-tmp/miniwob-plusplus/miniwob/html/miniwob/scroll-text.html</x:v>
      </x:c>
      <x:c r="S33" s="20" t="str">
        <x:v>Scroll Text Task</x:v>
      </x:c>
      <x:c r="T33" s="20" t="str">
        <x:v>RootWebArea 'Scroll Text Task', focused [13] textbox '' value='Urna. Sed. Sit pellentesque duis. Sagittis, pulvinar vivamus ac diam amet malesuada neque varius eget vulputate tellus, id metus,. Venenatis nascetur.' StaticText 'Urna. Sed. Sit pellentesque duis. Sagittis, pulvinar vivamus ac diam amet malesuada neque varius eget vulputate tellus, id metus,. Venenatis nascetur.' [14] textbox '', clickable [15] button 'Submit', clickable, focused</x:v>
      </x:c>
      <x:c r="U33" s="6" t="str">
        <x:v>0</x:v>
      </x:c>
      <x:c r="V33" s="6" t="str">
        <x:v>0</x:v>
      </x:c>
      <x:c r="W33" s="6" t="str">
        <x:v>0</x:v>
      </x:c>
      <x:c r="X33" s="6" t="str">
        <x:v>1</x:v>
      </x:c>
      <x:c r="Y33" s="6" t="str">
        <x:v>0</x:v>
      </x:c>
      <x:c r="Z33" s="6" t="str">
        <x:v>1</x:v>
      </x:c>
      <x:c r="AA33" s="6" t="str">
        <x:v>0.0</x:v>
      </x:c>
      <x:c r="AB33" s="20" t="str">
        <x:v>Codex证据复核v1：原始记录唯一匹配、环境实测、反事实配对ID完整、终止且非成功、奖励非正、队列标签与结果派生规则一致；非人工签字。</x:v>
      </x:c>
    </x:row>
    <x:row r="34" ht="46" customHeight="1">
      <x:c r="A34" s="6" t="str">
        <x:v>1</x:v>
      </x:c>
      <x:c r="B34" s="6" t="str">
        <x:v>869bb08bc0c3bda7c7f0</x:v>
      </x:c>
      <x:c r="C34" s="6" t="str">
        <x:v>evidence_approved</x:v>
      </x:c>
      <x:c r="D34" s="6" t="str">
        <x:v>codex-evidence-review-v1</x:v>
      </x:c>
      <x:c r="E34" s="22" t="n">
        <x:v>46244.40206471065</x:v>
      </x:c>
      <x:c r="F34" s="6" t="str">
        <x:v>20</x:v>
      </x:c>
      <x:c r="G34" s="20" t="str">
        <x:v>observed_counterfactual;severe_failure;terminal</x:v>
      </x:c>
      <x:c r="H34" s="20" t="str">
        <x:v>browsergym/miniwob.click-tab</x:v>
      </x:c>
      <x:c r="I34" s="6" t="str">
        <x:v>browsergym/miniwob.click-tab</x:v>
      </x:c>
      <x:c r="J34" s="6" t="str">
        <x:v>cf-click-tab-seed1039-hard_wrong_target</x:v>
      </x:c>
      <x:c r="K34" s="6" t="str">
        <x:v>0</x:v>
      </x:c>
      <x:c r="L34" s="20" t="str">
        <x:v>Click on Tab #3.</x:v>
      </x:c>
      <x:c r="M34" s="20" t="str">
        <x:v>click("19", "left")</x:v>
      </x:c>
      <x:c r="N34" s="6" t="str">
        <x:v>0.0</x:v>
      </x:c>
      <x:c r="O34" s="20" t="str">
        <x:v>file:///root/autodl-tmp/miniwob-plusplus/miniwob/html/miniwob/click-tab.html</x:v>
      </x:c>
      <x:c r="P34" s="20" t="str">
        <x:v>Click Tab Task</x:v>
      </x:c>
      <x:c r="Q34"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'Consectetur. Potenti ipsum nunc. Volutpat adipiscing ut varius sed facilisis morbi amet mauris, sed pulvinar penatibus. Quisque. Adipiscing sapien egestas.'</x:v>
      </x:c>
      <x:c r="R34" s="20" t="str">
        <x:v>file:///root/autodl-tmp/miniwob-plusplus/miniwob/html/miniwob/click-tab.html</x:v>
      </x:c>
      <x:c r="S34" s="20" t="str">
        <x:v>Click Tab Task</x:v>
      </x:c>
      <x:c r="T34"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'Consectetur. Potenti ipsum nunc. Volutpat adipiscing ut varius sed facilisis morbi amet mauris, sed pulvinar penatibus. Quisque. Adipiscing sapien egestas.'</x:v>
      </x:c>
      <x:c r="U34" s="6" t="str">
        <x:v>0</x:v>
      </x:c>
      <x:c r="V34" s="6" t="str">
        <x:v>0</x:v>
      </x:c>
      <x:c r="W34" s="6" t="str">
        <x:v>0</x:v>
      </x:c>
      <x:c r="X34" s="6" t="str">
        <x:v>1</x:v>
      </x:c>
      <x:c r="Y34" s="6" t="str">
        <x:v>0</x:v>
      </x:c>
      <x:c r="Z34" s="6" t="str">
        <x:v>1</x:v>
      </x:c>
      <x:c r="AA34" s="6" t="str">
        <x:v>0.0</x:v>
      </x:c>
      <x:c r="AB34" s="20" t="str">
        <x:v>Codex证据复核v1：原始记录唯一匹配、环境实测、反事实配对ID完整、终止且非成功、奖励非正、队列标签与结果派生规则一致；非人工签字。</x:v>
      </x:c>
    </x:row>
    <x:row r="35" ht="46" customHeight="1">
      <x:c r="A35" s="6" t="str">
        <x:v>1</x:v>
      </x:c>
      <x:c r="B35" s="6" t="str">
        <x:v>ab9f0dfb0efa0bcca1e2</x:v>
      </x:c>
      <x:c r="C35" s="6" t="str">
        <x:v>evidence_approved</x:v>
      </x:c>
      <x:c r="D35" s="6" t="str">
        <x:v>codex-evidence-review-v1</x:v>
      </x:c>
      <x:c r="E35" s="22" t="n">
        <x:v>46244.40206471065</x:v>
      </x:c>
      <x:c r="F35" s="6" t="str">
        <x:v>20</x:v>
      </x:c>
      <x:c r="G35" s="20" t="str">
        <x:v>observed_counterfactual;severe_failure;terminal</x:v>
      </x:c>
      <x:c r="H35" s="20" t="str">
        <x:v>browsergym/miniwob.click-tab</x:v>
      </x:c>
      <x:c r="I35" s="6" t="str">
        <x:v>browsergym/miniwob.click-tab</x:v>
      </x:c>
      <x:c r="J35" s="6" t="str">
        <x:v>cf-click-tab-seed1018-hard_wrong_target</x:v>
      </x:c>
      <x:c r="K35" s="6" t="str">
        <x:v>0</x:v>
      </x:c>
      <x:c r="L35" s="20" t="str">
        <x:v>Click on Tab #3.</x:v>
      </x:c>
      <x:c r="M35" s="20" t="str">
        <x:v>click("21", "left")</x:v>
      </x:c>
      <x:c r="N35" s="6" t="str">
        <x:v>0.0</x:v>
      </x:c>
      <x:c r="O35" s="20" t="str">
        <x:v>file:///root/autodl-tmp/miniwob-plusplus/miniwob/html/miniwob/click-tab.html</x:v>
      </x:c>
      <x:c r="P35" s="20" t="str">
        <x:v>Click Tab Task</x:v>
      </x:c>
      <x:c r="Q35"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'Non. Nunc nibh aliquet. Elit porta magna et eget sed. Et. Vitae orci. Odio neque dignissim mauris pharetra odio ultrices.'</x:v>
      </x:c>
      <x:c r="R35" s="20" t="str">
        <x:v>file:///root/autodl-tmp/miniwob-plusplus/miniwob/html/miniwob/click-tab.html</x:v>
      </x:c>
      <x:c r="S35" s="20" t="str">
        <x:v>Click Tab Task</x:v>
      </x:c>
      <x:c r="T35"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'Ornare in et tristique sed ac quis enim at pulvinar fusce. Vel dolor eget arcu pulvinar sit nec aliquam, porttitor.'</x:v>
      </x:c>
      <x:c r="U35" s="6" t="str">
        <x:v>0</x:v>
      </x:c>
      <x:c r="V35" s="6" t="str">
        <x:v>0</x:v>
      </x:c>
      <x:c r="W35" s="6" t="str">
        <x:v>0</x:v>
      </x:c>
      <x:c r="X35" s="6" t="str">
        <x:v>1</x:v>
      </x:c>
      <x:c r="Y35" s="6" t="str">
        <x:v>0</x:v>
      </x:c>
      <x:c r="Z35" s="6" t="str">
        <x:v>1</x:v>
      </x:c>
      <x:c r="AA35" s="6" t="str">
        <x:v>0.0</x:v>
      </x:c>
      <x:c r="AB35" s="20" t="str">
        <x:v>Codex证据复核v1：原始记录唯一匹配、环境实测、反事实配对ID完整、终止且非成功、奖励非正、队列标签与结果派生规则一致；非人工签字。</x:v>
      </x:c>
    </x:row>
    <x:row r="36" ht="46" customHeight="1">
      <x:c r="A36" s="6" t="str">
        <x:v>1</x:v>
      </x:c>
      <x:c r="B36" s="6" t="str">
        <x:v>67284a1ddb138ca43837</x:v>
      </x:c>
      <x:c r="C36" s="6" t="str">
        <x:v>evidence_approved</x:v>
      </x:c>
      <x:c r="D36" s="6" t="str">
        <x:v>codex-evidence-review-v1</x:v>
      </x:c>
      <x:c r="E36" s="22" t="n">
        <x:v>46244.40206471065</x:v>
      </x:c>
      <x:c r="F36" s="6" t="str">
        <x:v>20</x:v>
      </x:c>
      <x:c r="G36" s="20" t="str">
        <x:v>observed_counterfactual;severe_failure;terminal</x:v>
      </x:c>
      <x:c r="H36" s="20" t="str">
        <x:v>browsergym/miniwob.scroll-text-2</x:v>
      </x:c>
      <x:c r="I36" s="6" t="str">
        <x:v>browsergym/miniwob.scroll-text-2</x:v>
      </x:c>
      <x:c r="J36" s="6" t="str">
        <x:v>cf-scroll-text-2-seed1000-hard_wrong_target</x:v>
      </x:c>
      <x:c r="K36" s="6" t="str">
        <x:v>0</x:v>
      </x:c>
      <x:c r="L36" s="20" t="str">
        <x:v>Scroll the textarea to the top of the text hit submit.</x:v>
      </x:c>
      <x:c r="M36" s="20" t="str">
        <x:v>click("14", "left")</x:v>
      </x:c>
      <x:c r="N36" s="6" t="str">
        <x:v>0.0</x:v>
      </x:c>
      <x:c r="O36" s="20" t="str">
        <x:v>file:///root/autodl-tmp/miniwob-plusplus/miniwob/html/miniwob/scroll-text-2.html</x:v>
      </x:c>
      <x:c r="P36" s="20" t="str">
        <x:v>Scroll Text Task</x:v>
      </x:c>
      <x:c r="Q36" s="20" t="str">
        <x:v>RootWebArea 'Scroll Text Task', focused [13] textbox '' value='Lectus interdum bibendum nibh nec, pellentesque. In lobortis arcu, nec eleifend in. Ultrices aliquam. Vivamus pellentesque pharetra massa, cursus sit amet, fermentum, dictum tristique iaculis vulputate sed id. Nibh. Amet, tincidunt elit feugiat fringilla etiam. Lobortis enim suspendisse mauris facilisis. At sapien eget mauris et. Netus. Ut mattis pretium vitae.' StaticText 'Lectus interdum bibendum nibh nec, pellentesque. In lobortis arcu, nec eleifend in. Ultrices aliquam. Vivamus pellentesque pharetra massa, cursus sit amet, fermentum, dictum tristique iaculis vulputate sed id. Nibh. Amet, tincidunt elit feugiat fringilla etiam. Lobortis enim suspendisse mauris facilisis. At sapien eget mauris et. Netus. Ut mattis pretium vitae.' [14] button 'Submit', clickable</x:v>
      </x:c>
      <x:c r="R36" s="20" t="str">
        <x:v>file:///root/autodl-tmp/miniwob-plusplus/miniwob/html/miniwob/scroll-text-2.html</x:v>
      </x:c>
      <x:c r="S36" s="20" t="str">
        <x:v>Scroll Text Task</x:v>
      </x:c>
      <x:c r="T36" s="20" t="str">
        <x:v>RootWebArea 'Scroll Text Task', focused [13] textbox '' value='Lectus interdum bibendum nibh nec, pellentesque. In lobortis arcu, nec eleifend in. Ultrices aliquam. Vivamus pellentesque pharetra massa, cursus sit amet, fermentum, dictum tristique iaculis vulputate sed id. Nibh. Amet, tincidunt elit feugiat fringilla etiam. Lobortis enim suspendisse mauris facilisis. At sapien eget mauris et. Netus. Ut mattis pretium vitae.' StaticText 'Lectus interdum bibendum nibh nec, pellentesque. In lobortis arcu, nec eleifend in. Ultrices aliquam. Vivamus pellentesque pharetra massa, cursus sit amet, fermentum, dictum tristique iaculis vulputate sed id. Nibh. Amet, tincidunt elit feugiat fringilla etiam. Lobortis enim suspendisse mauris facilisis. At sapien eget mauris et. Netus. Ut mattis pretium vitae.' [14] button 'Submit', clickable, focused</x:v>
      </x:c>
      <x:c r="U36" s="6" t="str">
        <x:v>0</x:v>
      </x:c>
      <x:c r="V36" s="6" t="str">
        <x:v>0</x:v>
      </x:c>
      <x:c r="W36" s="6" t="str">
        <x:v>0</x:v>
      </x:c>
      <x:c r="X36" s="6" t="str">
        <x:v>1</x:v>
      </x:c>
      <x:c r="Y36" s="6" t="str">
        <x:v>0</x:v>
      </x:c>
      <x:c r="Z36" s="6" t="str">
        <x:v>1</x:v>
      </x:c>
      <x:c r="AA36" s="6" t="str">
        <x:v>0.0</x:v>
      </x:c>
      <x:c r="AB36" s="20" t="str">
        <x:v>Codex证据复核v1：原始记录唯一匹配、环境实测、反事实配对ID完整、终止且非成功、奖励非正、队列标签与结果派生规则一致；非人工签字。</x:v>
      </x:c>
    </x:row>
    <x:row r="37" ht="46" customHeight="1">
      <x:c r="A37" s="6" t="str">
        <x:v>1</x:v>
      </x:c>
      <x:c r="B37" s="6" t="str">
        <x:v>714184616bea72040b20</x:v>
      </x:c>
      <x:c r="C37" s="6" t="str">
        <x:v>evidence_approved</x:v>
      </x:c>
      <x:c r="D37" s="6" t="str">
        <x:v>codex-evidence-review-v1</x:v>
      </x:c>
      <x:c r="E37" s="22" t="n">
        <x:v>46244.40206471065</x:v>
      </x:c>
      <x:c r="F37" s="6" t="str">
        <x:v>20</x:v>
      </x:c>
      <x:c r="G37" s="20" t="str">
        <x:v>observed_counterfactual;severe_failure;terminal</x:v>
      </x:c>
      <x:c r="H37" s="20" t="str">
        <x:v>browsergym/miniwob.choose-list</x:v>
      </x:c>
      <x:c r="I37" s="6" t="str">
        <x:v>browsergym/miniwob.choose-list</x:v>
      </x:c>
      <x:c r="J37" s="6" t="str">
        <x:v>cf-choose-list-seed1037-hard_wrong_target</x:v>
      </x:c>
      <x:c r="K37" s="6" t="str">
        <x:v>0</x:v>
      </x:c>
      <x:c r="L37" s="20" t="str">
        <x:v>Select Xenia from the list and click Submit.</x:v>
      </x:c>
      <x:c r="M37" s="20" t="str">
        <x:v>click("21", "left")</x:v>
      </x:c>
      <x:c r="N37" s="6" t="str">
        <x:v>0.0</x:v>
      </x:c>
      <x:c r="O37" s="20" t="str">
        <x:v>file:///root/autodl-tmp/miniwob-plusplus/miniwob/html/miniwob/choose-list.html</x:v>
      </x:c>
      <x:c r="P37" s="20" t="str">
        <x:v>Choose List Task</x:v>
      </x:c>
      <x:c r="Q37" s="20" t="str">
        <x:v>RootWebArea 'Choose List Task', focused [13] combobox '' value='Paulina', hasPopup='menu', expanded=False [21] button 'Submit', clickable</x:v>
      </x:c>
      <x:c r="R37" s="20" t="str">
        <x:v>file:///root/autodl-tmp/miniwob-plusplus/miniwob/html/miniwob/choose-list.html</x:v>
      </x:c>
      <x:c r="S37" s="20" t="str">
        <x:v>Choose List Task</x:v>
      </x:c>
      <x:c r="T37" s="20" t="str">
        <x:v>RootWebArea 'Choose List Task', focused [13] combobox '' value='Paulina', hasPopup='menu', expanded=False [21] button 'Submit', clickable, focused</x:v>
      </x:c>
      <x:c r="U37" s="6" t="str">
        <x:v>0</x:v>
      </x:c>
      <x:c r="V37" s="6" t="str">
        <x:v>0</x:v>
      </x:c>
      <x:c r="W37" s="6" t="str">
        <x:v>0</x:v>
      </x:c>
      <x:c r="X37" s="6" t="str">
        <x:v>1</x:v>
      </x:c>
      <x:c r="Y37" s="6" t="str">
        <x:v>0</x:v>
      </x:c>
      <x:c r="Z37" s="6" t="str">
        <x:v>1</x:v>
      </x:c>
      <x:c r="AA37" s="6" t="str">
        <x:v>0.0</x:v>
      </x:c>
      <x:c r="AB37" s="20" t="str">
        <x:v>Codex证据复核v1：原始记录唯一匹配、环境实测、反事实配对ID完整、终止且非成功、奖励非正、队列标签与结果派生规则一致；非人工签字。</x:v>
      </x:c>
    </x:row>
    <x:row r="38" ht="46" customHeight="1">
      <x:c r="A38" s="6" t="str">
        <x:v>1</x:v>
      </x:c>
      <x:c r="B38" s="6" t="str">
        <x:v>9bc819814b36410a3942</x:v>
      </x:c>
      <x:c r="C38" s="6" t="str">
        <x:v>evidence_approved</x:v>
      </x:c>
      <x:c r="D38" s="6" t="str">
        <x:v>codex-evidence-review-v1</x:v>
      </x:c>
      <x:c r="E38" s="22" t="n">
        <x:v>46244.40206471065</x:v>
      </x:c>
      <x:c r="F38" s="6" t="str">
        <x:v>20</x:v>
      </x:c>
      <x:c r="G38" s="20" t="str">
        <x:v>observed_counterfactual;severe_failure;terminal</x:v>
      </x:c>
      <x:c r="H38" s="20" t="str">
        <x:v>browsergym/miniwob.scroll-text</x:v>
      </x:c>
      <x:c r="I38" s="6" t="str">
        <x:v>browsergym/miniwob.scroll-text</x:v>
      </x:c>
      <x:c r="J38" s="6" t="str">
        <x:v>cf-scroll-text-seed1014-hard_wrong_target</x:v>
      </x:c>
      <x:c r="K38" s="6" t="str">
        <x:v>0</x:v>
      </x:c>
      <x:c r="L38" s="20" t="str">
        <x:v>Find the last word in the text area, enter it into the text field and hit Submit.</x:v>
      </x:c>
      <x:c r="M38" s="20" t="str">
        <x:v>click("15", "left")</x:v>
      </x:c>
      <x:c r="N38" s="6" t="str">
        <x:v>0.0</x:v>
      </x:c>
      <x:c r="O38" s="20" t="str">
        <x:v>file:///root/autodl-tmp/miniwob-plusplus/miniwob/html/miniwob/scroll-text.html</x:v>
      </x:c>
      <x:c r="P38" s="20" t="str">
        <x:v>Scroll Text Task</x:v>
      </x:c>
      <x:c r="Q38" s="20" t="str">
        <x:v>RootWebArea 'Scroll Text Task', focused [13] textbox '' value='Semper tempor urna, elementum enim pellentesque sed porttitor habitant. Est feugiat neque mi velit, nunc faucibus proin aliquet metus, sit sed ultrices gravida. Cursus posuere elementum. Vulputate interdum molestie velit volutpat, viverra pharetra, habitasse in urna. Enim. Eget sed vehicula. Sapien in elementum. Ac vestibulum. Etiam arcu morbi turpis sed pellentesque volutpat. Penatibus. Nisi venenatis aliquam. Sed aliquam. Enim. Sagittis viverra aenean. Massa non porta aliquet augue dui,. Orci. In amet, eu, id ipsum varius pharetra bibendum. Amet nullam nascetur. Sus… StaticText 'Semper tempor urna, elementum enim pellentesque sed porttitor habitant. Est feugiat neque mi velit, nunc faucibus proin aliquet metus, sit sed ultrices gravida. Cursus posuere elementum. Vulputate interdum molestie velit volutpat, viverra pharetra,…</x:v>
      </x:c>
      <x:c r="R38" s="20" t="str">
        <x:v>file:///root/autodl-tmp/miniwob-plusplus/miniwob/html/miniwob/scroll-text.html</x:v>
      </x:c>
      <x:c r="S38" s="20" t="str">
        <x:v>Scroll Text Task</x:v>
      </x:c>
      <x:c r="T38" s="20" t="str">
        <x:v>RootWebArea 'Scroll Text Task', focused [13] textbox '' value='Semper tempor urna, elementum enim pellentesque sed porttitor habitant. Est feugiat neque mi velit, nunc faucibus proin aliquet metus, sit sed ultrices gravida. Cursus posuere elementum. Vulputate interdum molestie velit volutpat, viverra pharetra, habitasse in urna. Enim. Eget sed vehicula. Sapien in elementum. Ac vestibulum. Etiam arcu morbi turpis sed pellentesque volutpat. Penatibus. Nisi venenatis aliquam. Sed aliquam. Enim. Sagittis viverra aenean. Massa non porta aliquet augue dui,. Orci. In amet, eu, id ipsum varius pharetra bibendum. Amet nullam nascetur. Sus… StaticText 'Semper tempor urna, elementum enim pellentesque sed porttitor habitant. Est feugiat neque mi velit, nunc faucibus proin aliquet metus, sit sed ultrices gravida. Cursus posuere elementum. Vulputate interdum molestie velit volutpat, viverra pharetra,…</x:v>
      </x:c>
      <x:c r="U38" s="6" t="str">
        <x:v>0</x:v>
      </x:c>
      <x:c r="V38" s="6" t="str">
        <x:v>0</x:v>
      </x:c>
      <x:c r="W38" s="6" t="str">
        <x:v>0</x:v>
      </x:c>
      <x:c r="X38" s="6" t="str">
        <x:v>1</x:v>
      </x:c>
      <x:c r="Y38" s="6" t="str">
        <x:v>0</x:v>
      </x:c>
      <x:c r="Z38" s="6" t="str">
        <x:v>1</x:v>
      </x:c>
      <x:c r="AA38" s="6" t="str">
        <x:v>0.0</x:v>
      </x:c>
      <x:c r="AB38" s="20" t="str">
        <x:v>Codex证据复核v1：原始记录唯一匹配、环境实测、反事实配对ID完整、终止且非成功、奖励非正、队列标签与结果派生规则一致；非人工签字。</x:v>
      </x:c>
    </x:row>
    <x:row r="39" ht="46" customHeight="1">
      <x:c r="A39" s="6" t="str">
        <x:v>1</x:v>
      </x:c>
      <x:c r="B39" s="6" t="str">
        <x:v>bb3c27cbc3d6f1baf9c3</x:v>
      </x:c>
      <x:c r="C39" s="6" t="str">
        <x:v>evidence_approved</x:v>
      </x:c>
      <x:c r="D39" s="6" t="str">
        <x:v>codex-evidence-review-v1</x:v>
      </x:c>
      <x:c r="E39" s="22" t="n">
        <x:v>46244.40206471065</x:v>
      </x:c>
      <x:c r="F39" s="6" t="str">
        <x:v>20</x:v>
      </x:c>
      <x:c r="G39" s="20" t="str">
        <x:v>observed_counterfactual;severe_failure;terminal</x:v>
      </x:c>
      <x:c r="H39" s="20" t="str">
        <x:v>browsergym/miniwob.choose-list</x:v>
      </x:c>
      <x:c r="I39" s="6" t="str">
        <x:v>browsergym/miniwob.choose-list</x:v>
      </x:c>
      <x:c r="J39" s="6" t="str">
        <x:v>cf-choose-list-seed1021-wrong_action_type</x:v>
      </x:c>
      <x:c r="K39" s="6" t="str">
        <x:v>0</x:v>
      </x:c>
      <x:c r="L39" s="20" t="str">
        <x:v>Select Sadella from the list and click Submit.</x:v>
      </x:c>
      <x:c r="M39" s="20" t="str">
        <x:v>click("22", "left")</x:v>
      </x:c>
      <x:c r="N39" s="6" t="str">
        <x:v>0.0</x:v>
      </x:c>
      <x:c r="O39" s="20" t="str">
        <x:v>file:///root/autodl-tmp/miniwob-plusplus/miniwob/html/miniwob/choose-list.html</x:v>
      </x:c>
      <x:c r="P39" s="20" t="str">
        <x:v>Choose List Task</x:v>
      </x:c>
      <x:c r="Q39" s="20" t="str">
        <x:v>RootWebArea 'Choose List Task', focused [13] combobox '' value='Ketty', hasPopup='menu', expanded=False [22] button 'Submit', clickable</x:v>
      </x:c>
      <x:c r="R39" s="20" t="str">
        <x:v>file:///root/autodl-tmp/miniwob-plusplus/miniwob/html/miniwob/choose-list.html</x:v>
      </x:c>
      <x:c r="S39" s="20" t="str">
        <x:v>Choose List Task</x:v>
      </x:c>
      <x:c r="T39" s="20" t="str">
        <x:v>RootWebArea 'Choose List Task', focused [13] combobox '' value='Ketty', hasPopup='menu', expanded=False [22] button 'Submit', clickable, focused</x:v>
      </x:c>
      <x:c r="U39" s="6" t="str">
        <x:v>0</x:v>
      </x:c>
      <x:c r="V39" s="6" t="str">
        <x:v>0</x:v>
      </x:c>
      <x:c r="W39" s="6" t="str">
        <x:v>0</x:v>
      </x:c>
      <x:c r="X39" s="6" t="str">
        <x:v>1</x:v>
      </x:c>
      <x:c r="Y39" s="6" t="str">
        <x:v>0</x:v>
      </x:c>
      <x:c r="Z39" s="6" t="str">
        <x:v>1</x:v>
      </x:c>
      <x:c r="AA39" s="6" t="str">
        <x:v>0.0</x:v>
      </x:c>
      <x:c r="AB39" s="20" t="str">
        <x:v>Codex证据复核v1：原始记录唯一匹配、环境实测、反事实配对ID完整、终止且非成功、奖励非正、队列标签与结果派生规则一致；非人工签字。</x:v>
      </x:c>
    </x:row>
    <x:row r="40" ht="46" customHeight="1">
      <x:c r="A40" s="6" t="str">
        <x:v>1</x:v>
      </x:c>
      <x:c r="B40" s="6" t="str">
        <x:v>e49e74e1afa671c5ec27</x:v>
      </x:c>
      <x:c r="C40" s="6" t="str">
        <x:v>evidence_approved</x:v>
      </x:c>
      <x:c r="D40" s="6" t="str">
        <x:v>codex-evidence-review-v1</x:v>
      </x:c>
      <x:c r="E40" s="22" t="n">
        <x:v>46244.40206471065</x:v>
      </x:c>
      <x:c r="F40" s="6" t="str">
        <x:v>20</x:v>
      </x:c>
      <x:c r="G40" s="20" t="str">
        <x:v>observed_counterfactual;severe_failure;terminal</x:v>
      </x:c>
      <x:c r="H40" s="20" t="str">
        <x:v>browsergym/miniwob.click-tab</x:v>
      </x:c>
      <x:c r="I40" s="6" t="str">
        <x:v>browsergym/miniwob.click-tab</x:v>
      </x:c>
      <x:c r="J40" s="6" t="str">
        <x:v>cf-click-tab-seed1020-hard_wrong_target</x:v>
      </x:c>
      <x:c r="K40" s="6" t="str">
        <x:v>0</x:v>
      </x:c>
      <x:c r="L40" s="20" t="str">
        <x:v>Click on Tab #3.</x:v>
      </x:c>
      <x:c r="M40" s="20" t="str">
        <x:v>click("19", "left")</x:v>
      </x:c>
      <x:c r="N40" s="6" t="str">
        <x:v>0.0</x:v>
      </x:c>
      <x:c r="O40" s="20" t="str">
        <x:v>file:///root/autodl-tmp/miniwob-plusplus/miniwob/html/miniwob/click-tab.html</x:v>
      </x:c>
      <x:c r="P40" s="20" t="str">
        <x:v>Click Tab Task</x:v>
      </x:c>
      <x:c r="Q40"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'Lorem placerat. Aliquet id. Ut. Pellentesque. Congue. Urna cras cum. Nunc. Feugiat nibh arcu quis adipiscing. Nec ullamcorper congue vestibulum.'</x:v>
      </x:c>
      <x:c r="R40" s="20" t="str">
        <x:v>file:///root/autodl-tmp/miniwob-plusplus/miniwob/html/miniwob/click-tab.html</x:v>
      </x:c>
      <x:c r="S40" s="20" t="str">
        <x:v>Click Tab Task</x:v>
      </x:c>
      <x:c r="T40"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'Massa, nec lectus eget hac sit elementum viverra. Faucibus interdum risus. Morbi purus. Elit aliquam at feugiat fringilla risus pretium.'</x:v>
      </x:c>
      <x:c r="U40" s="6" t="str">
        <x:v>0</x:v>
      </x:c>
      <x:c r="V40" s="6" t="str">
        <x:v>0</x:v>
      </x:c>
      <x:c r="W40" s="6" t="str">
        <x:v>0</x:v>
      </x:c>
      <x:c r="X40" s="6" t="str">
        <x:v>1</x:v>
      </x:c>
      <x:c r="Y40" s="6" t="str">
        <x:v>0</x:v>
      </x:c>
      <x:c r="Z40" s="6" t="str">
        <x:v>1</x:v>
      </x:c>
      <x:c r="AA40" s="6" t="str">
        <x:v>0.0</x:v>
      </x:c>
      <x:c r="AB40" s="20" t="str">
        <x:v>Codex证据复核v1：原始记录唯一匹配、环境实测、反事实配对ID完整、终止且非成功、奖励非正、队列标签与结果派生规则一致；非人工签字。</x:v>
      </x:c>
    </x:row>
    <x:row r="41" ht="46" customHeight="1">
      <x:c r="A41" s="6" t="str">
        <x:v>1</x:v>
      </x:c>
      <x:c r="B41" s="6" t="str">
        <x:v>8a2a85131bcd62f6110d</x:v>
      </x:c>
      <x:c r="C41" s="6" t="str">
        <x:v>evidence_approved</x:v>
      </x:c>
      <x:c r="D41" s="6" t="str">
        <x:v>codex-evidence-review-v1</x:v>
      </x:c>
      <x:c r="E41" s="22" t="n">
        <x:v>46244.40206471065</x:v>
      </x:c>
      <x:c r="F41" s="6" t="str">
        <x:v>20</x:v>
      </x:c>
      <x:c r="G41" s="20" t="str">
        <x:v>observed_counterfactual;severe_failure;terminal</x:v>
      </x:c>
      <x:c r="H41" s="20" t="str">
        <x:v>browsergym/miniwob.enter-text-dynamic</x:v>
      </x:c>
      <x:c r="I41" s="6" t="str">
        <x:v>browsergym/miniwob.enter-text-dynamic</x:v>
      </x:c>
      <x:c r="J41" s="6" t="str">
        <x:v>cf-enter-text-dynamic-seed1021-hard_wrong_target</x:v>
      </x:c>
      <x:c r="K41" s="6" t="str">
        <x:v>0</x:v>
      </x:c>
      <x:c r="L41" s="20" t="str">
        <x:v>Enter "4" into the text field and press Submit.</x:v>
      </x:c>
      <x:c r="M41" s="20" t="str">
        <x:v>click("15", "left")</x:v>
      </x:c>
      <x:c r="N41" s="6" t="str">
        <x:v>0.0</x:v>
      </x:c>
      <x:c r="O41" s="20" t="str">
        <x:v>file:///root/autodl-tmp/miniwob-plusplus/miniwob/html/miniwob/enter-text-dynamic.html</x:v>
      </x:c>
      <x:c r="P41" s="20" t="str">
        <x:v>Enter Dynamic Text Task</x:v>
      </x:c>
      <x:c r="Q41" s="20" t="str">
        <x:v>RootWebArea 'Enter Dynamic Text Task', focused [14] textbox '', clickable [15] button 'Submit', clickable</x:v>
      </x:c>
      <x:c r="R41" s="20" t="str">
        <x:v>file:///root/autodl-tmp/miniwob-plusplus/miniwob/html/miniwob/enter-text-dynamic.html</x:v>
      </x:c>
      <x:c r="S41" s="20" t="str">
        <x:v>Enter Dynamic Text Task</x:v>
      </x:c>
      <x:c r="T41" s="20" t="str">
        <x:v>RootWebArea 'Enter Dynamic Text Task', focused [14] textbox '', clickable [15] button 'Submit', clickable, focused</x:v>
      </x:c>
      <x:c r="U41" s="6" t="str">
        <x:v>0</x:v>
      </x:c>
      <x:c r="V41" s="6" t="str">
        <x:v>0</x:v>
      </x:c>
      <x:c r="W41" s="6" t="str">
        <x:v>0</x:v>
      </x:c>
      <x:c r="X41" s="6" t="str">
        <x:v>1</x:v>
      </x:c>
      <x:c r="Y41" s="6" t="str">
        <x:v>0</x:v>
      </x:c>
      <x:c r="Z41" s="6" t="str">
        <x:v>1</x:v>
      </x:c>
      <x:c r="AA41" s="6" t="str">
        <x:v>0.0</x:v>
      </x:c>
      <x:c r="AB41" s="20" t="str">
        <x:v>Codex证据复核v1：原始记录唯一匹配、环境实测、反事实配对ID完整、终止且非成功、奖励非正、队列标签与结果派生规则一致；非人工签字。</x:v>
      </x:c>
    </x:row>
    <x:row r="42" ht="46" customHeight="1">
      <x:c r="A42" s="6" t="str">
        <x:v>1</x:v>
      </x:c>
      <x:c r="B42" s="6" t="str">
        <x:v>ca5124d65189c6f2bab2</x:v>
      </x:c>
      <x:c r="C42" s="6" t="str">
        <x:v>evidence_approved</x:v>
      </x:c>
      <x:c r="D42" s="6" t="str">
        <x:v>codex-evidence-review-v1</x:v>
      </x:c>
      <x:c r="E42" s="22" t="n">
        <x:v>46244.40206471065</x:v>
      </x:c>
      <x:c r="F42" s="6" t="str">
        <x:v>20</x:v>
      </x:c>
      <x:c r="G42" s="20" t="str">
        <x:v>observed_counterfactual;severe_failure;terminal</x:v>
      </x:c>
      <x:c r="H42" s="20" t="str">
        <x:v>browsergym/miniwob.choose-list</x:v>
      </x:c>
      <x:c r="I42" s="6" t="str">
        <x:v>browsergym/miniwob.choose-list</x:v>
      </x:c>
      <x:c r="J42" s="6" t="str">
        <x:v>cf-choose-list-seed1015-wrong_action_type</x:v>
      </x:c>
      <x:c r="K42" s="6" t="str">
        <x:v>0</x:v>
      </x:c>
      <x:c r="L42" s="20" t="str">
        <x:v>Select Neala from the list and click Submit.</x:v>
      </x:c>
      <x:c r="M42" s="20" t="str">
        <x:v>click("23", "left")</x:v>
      </x:c>
      <x:c r="N42" s="6" t="str">
        <x:v>0.0</x:v>
      </x:c>
      <x:c r="O42" s="20" t="str">
        <x:v>file:///root/autodl-tmp/miniwob-plusplus/miniwob/html/miniwob/choose-list.html</x:v>
      </x:c>
      <x:c r="P42" s="20" t="str">
        <x:v>Choose List Task</x:v>
      </x:c>
      <x:c r="Q42" s="20" t="str">
        <x:v>RootWebArea 'Choose List Task', focused [13] combobox '' value='Nicol', hasPopup='menu', expanded=False [23] button 'Submit', clickable</x:v>
      </x:c>
      <x:c r="R42" s="20" t="str">
        <x:v>file:///root/autodl-tmp/miniwob-plusplus/miniwob/html/miniwob/choose-list.html</x:v>
      </x:c>
      <x:c r="S42" s="20" t="str">
        <x:v>Choose List Task</x:v>
      </x:c>
      <x:c r="T42" s="20" t="str">
        <x:v>RootWebArea 'Choose List Task', focused [13] combobox '' value='Nicol', hasPopup='menu', expanded=False [23] button 'Submit', clickable, focused</x:v>
      </x:c>
      <x:c r="U42" s="6" t="str">
        <x:v>0</x:v>
      </x:c>
      <x:c r="V42" s="6" t="str">
        <x:v>0</x:v>
      </x:c>
      <x:c r="W42" s="6" t="str">
        <x:v>0</x:v>
      </x:c>
      <x:c r="X42" s="6" t="str">
        <x:v>1</x:v>
      </x:c>
      <x:c r="Y42" s="6" t="str">
        <x:v>0</x:v>
      </x:c>
      <x:c r="Z42" s="6" t="str">
        <x:v>1</x:v>
      </x:c>
      <x:c r="AA42" s="6" t="str">
        <x:v>0.0</x:v>
      </x:c>
      <x:c r="AB42" s="20" t="str">
        <x:v>Codex证据复核v1：原始记录唯一匹配、环境实测、反事实配对ID完整、终止且非成功、奖励非正、队列标签与结果派生规则一致；非人工签字。</x:v>
      </x:c>
    </x:row>
    <x:row r="43" ht="46" customHeight="1">
      <x:c r="A43" s="6" t="str">
        <x:v>1</x:v>
      </x:c>
      <x:c r="B43" s="6" t="str">
        <x:v>15f1855f36d3c32f3b44</x:v>
      </x:c>
      <x:c r="C43" s="6" t="str">
        <x:v>evidence_approved</x:v>
      </x:c>
      <x:c r="D43" s="6" t="str">
        <x:v>codex-evidence-review-v1</x:v>
      </x:c>
      <x:c r="E43" s="22" t="n">
        <x:v>46244.40206471065</x:v>
      </x:c>
      <x:c r="F43" s="6" t="str">
        <x:v>20</x:v>
      </x:c>
      <x:c r="G43" s="20" t="str">
        <x:v>observed_counterfactual;severe_failure;terminal</x:v>
      </x:c>
      <x:c r="H43" s="20" t="str">
        <x:v>browsergym/miniwob.click-menu</x:v>
      </x:c>
      <x:c r="I43" s="6" t="str">
        <x:v>browsergym/miniwob.click-menu</x:v>
      </x:c>
      <x:c r="J43" s="6" t="str">
        <x:v>cf-click-menu-seed1001-missing_target</x:v>
      </x:c>
      <x:c r="K43" s="6" t="str">
        <x:v>0</x:v>
      </x:c>
      <x:c r="L43" s="20" t="str">
        <x:v>Select Hanna&gt;Claire&gt;Julee</x:v>
      </x:c>
      <x:c r="M43" s="20" t="str">
        <x:v>click("19", "left")</x:v>
      </x:c>
      <x:c r="N43" s="6" t="str">
        <x:v>0.0</x:v>
      </x:c>
      <x:c r="O43" s="20" t="str">
        <x:v>file:///root/autodl-tmp/miniwob-plusplus/miniwob/html/miniwob/click-menu.html</x:v>
      </x:c>
      <x:c r="P43" s="20" t="str">
        <x:v>Click Menu Task</x:v>
      </x:c>
      <x:c r="Q43" s="20" t="str">
        <x:v>RootWebArea 'Click Menu Task', focused [17] menu '', clickable, orientation='vertical' image '' [19] menuitem 'Hanna', hasPopup='menu' image '' [43] menuitem 'Delores'</x:v>
      </x:c>
      <x:c r="R43" s="20" t="str">
        <x:v>file:///root/autodl-tmp/miniwob-plusplus/miniwob/html/miniwob/click-menu.html</x:v>
      </x:c>
      <x:c r="S43" s="20" t="str">
        <x:v>Click Menu Task</x:v>
      </x:c>
      <x:c r="T43" s="20" t="str">
        <x:v>RootWebArea 'Click Menu Task', focused [17] menu '', clickable, orientation='vertical' image '' [19] menuitem 'Hanna', hasPopup='menu' [21] menu '', orientation='vertical' image '' [23] menuitem 'Justine', hasPopup='menu' image '' [31] menuitem 'Fred' image '' [33] menuitem 'Claire', hasPopup='menu' image '' [41] menuitem 'Kath' image '' [43] menuitem 'Delores'</x:v>
      </x:c>
      <x:c r="U43" s="6" t="str">
        <x:v>0</x:v>
      </x:c>
      <x:c r="V43" s="6" t="str">
        <x:v>0</x:v>
      </x:c>
      <x:c r="W43" s="6" t="str">
        <x:v>0</x:v>
      </x:c>
      <x:c r="X43" s="6" t="str">
        <x:v>1</x:v>
      </x:c>
      <x:c r="Y43" s="6" t="str">
        <x:v>0</x:v>
      </x:c>
      <x:c r="Z43" s="6" t="str">
        <x:v>1</x:v>
      </x:c>
      <x:c r="AA43" s="6" t="str">
        <x:v>0.0</x:v>
      </x:c>
      <x:c r="AB43" s="20" t="str">
        <x:v>Codex证据复核v1：原始记录唯一匹配、环境实测、反事实配对ID完整、终止且非成功、奖励非正、队列标签与结果派生规则一致；非人工签字。</x:v>
      </x:c>
    </x:row>
    <x:row r="44" ht="46" customHeight="1">
      <x:c r="A44" s="6" t="str">
        <x:v>1</x:v>
      </x:c>
      <x:c r="B44" s="6" t="str">
        <x:v>4eb4c40ade75ea335e10</x:v>
      </x:c>
      <x:c r="C44" s="6" t="str">
        <x:v>evidence_approved</x:v>
      </x:c>
      <x:c r="D44" s="6" t="str">
        <x:v>codex-evidence-review-v1</x:v>
      </x:c>
      <x:c r="E44" s="22" t="n">
        <x:v>46244.40206471065</x:v>
      </x:c>
      <x:c r="F44" s="6" t="str">
        <x:v>20</x:v>
      </x:c>
      <x:c r="G44" s="20" t="str">
        <x:v>observed_counterfactual;severe_failure;terminal</x:v>
      </x:c>
      <x:c r="H44" s="20" t="str">
        <x:v>browsergym/miniwob.click-test-2</x:v>
      </x:c>
      <x:c r="I44" s="6" t="str">
        <x:v>browsergym/miniwob.click-test-2</x:v>
      </x:c>
      <x:c r="J44" s="6" t="str">
        <x:v>cf-click-test-2-seed1036-hard_wrong_target</x:v>
      </x:c>
      <x:c r="K44" s="6" t="str">
        <x:v>0</x:v>
      </x:c>
      <x:c r="L44" s="20" t="str">
        <x:v>Click button ONE.</x:v>
      </x:c>
      <x:c r="M44" s="20" t="str">
        <x:v>click("14", "left")</x:v>
      </x:c>
      <x:c r="N44" s="6" t="str">
        <x:v>0.0</x:v>
      </x:c>
      <x:c r="O44" s="20" t="str">
        <x:v>file:///root/autodl-tmp/miniwob-plusplus/miniwob/html/miniwob/click-test-2.html</x:v>
      </x:c>
      <x:c r="P44" s="20" t="str">
        <x:v>Click Test Task</x:v>
      </x:c>
      <x:c r="Q44" s="20" t="str">
        <x:v>RootWebArea 'Click Test Task', focused [13] button 'ONE', clickable [14] button 'TWO', clickable</x:v>
      </x:c>
      <x:c r="R44" s="20" t="str">
        <x:v>file:///root/autodl-tmp/miniwob-plusplus/miniwob/html/miniwob/click-test-2.html</x:v>
      </x:c>
      <x:c r="S44" s="20" t="str">
        <x:v>Click Test Task</x:v>
      </x:c>
      <x:c r="T44" s="20" t="str">
        <x:v>RootWebArea 'Click Test Task', focused [13] button 'ONE', clickable [14] button 'TWO', clickable, focused</x:v>
      </x:c>
      <x:c r="U44" s="6" t="str">
        <x:v>0</x:v>
      </x:c>
      <x:c r="V44" s="6" t="str">
        <x:v>0</x:v>
      </x:c>
      <x:c r="W44" s="6" t="str">
        <x:v>0</x:v>
      </x:c>
      <x:c r="X44" s="6" t="str">
        <x:v>1</x:v>
      </x:c>
      <x:c r="Y44" s="6" t="str">
        <x:v>0</x:v>
      </x:c>
      <x:c r="Z44" s="6" t="str">
        <x:v>1</x:v>
      </x:c>
      <x:c r="AA44" s="6" t="str">
        <x:v>0.0</x:v>
      </x:c>
      <x:c r="AB44" s="20" t="str">
        <x:v>Codex证据复核v1：原始记录唯一匹配、环境实测、反事实配对ID完整、终止且非成功、奖励非正、队列标签与结果派生规则一致；非人工签字。</x:v>
      </x:c>
    </x:row>
    <x:row r="45" ht="46" customHeight="1">
      <x:c r="A45" s="6" t="str">
        <x:v>1</x:v>
      </x:c>
      <x:c r="B45" s="6" t="str">
        <x:v>278ac0de54e0eee74d23</x:v>
      </x:c>
      <x:c r="C45" s="6" t="str">
        <x:v>evidence_approved</x:v>
      </x:c>
      <x:c r="D45" s="6" t="str">
        <x:v>codex-evidence-review-v1</x:v>
      </x:c>
      <x:c r="E45" s="22" t="n">
        <x:v>46244.40206471065</x:v>
      </x:c>
      <x:c r="F45" s="6" t="str">
        <x:v>20</x:v>
      </x:c>
      <x:c r="G45" s="20" t="str">
        <x:v>observed_counterfactual;severe_failure;terminal</x:v>
      </x:c>
      <x:c r="H45" s="20" t="str">
        <x:v>browsergym/miniwob.click-widget</x:v>
      </x:c>
      <x:c r="I45" s="6" t="str">
        <x:v>browsergym/miniwob.click-widget</x:v>
      </x:c>
      <x:c r="J45" s="6" t="str">
        <x:v>cf-click-widget-seed1038-missing_target</x:v>
      </x:c>
      <x:c r="K45" s="6" t="str">
        <x:v>0</x:v>
      </x:c>
      <x:c r="L45" s="20" t="str">
        <x:v>Click on a "text" widget.</x:v>
      </x:c>
      <x:c r="M45" s="20" t="str">
        <x:v>click("21", "left")</x:v>
      </x:c>
      <x:c r="N45" s="6" t="str">
        <x:v>0.0</x:v>
      </x:c>
      <x:c r="O45" s="20" t="str">
        <x:v>file:///root/autodl-tmp/miniwob-plusplus/miniwob/html/miniwob/click-widget.html</x:v>
      </x:c>
      <x:c r="P45" s="20" t="str">
        <x:v>Click Widget Task</x:v>
      </x:c>
      <x:c r="Q45" s="20" t="str">
        <x:v>RootWebArea 'Click Widget Task', focused [14] textbox '' value='VIh' StaticText 'VIh' [16] textbox '' value='U0aFP' StaticText 'U0aFP' [18] textbox '' value='Npfh', clickable StaticText 'Npfh' [20] LabelText '', clickable [21] checkbox 'c', clickable, checked='false' StaticText 'c' [23] textbox '' value='f' StaticText 'f'</x:v>
      </x:c>
      <x:c r="R45" s="20" t="str">
        <x:v>file:///root/autodl-tmp/miniwob-plusplus/miniwob/html/miniwob/click-widget.html</x:v>
      </x:c>
      <x:c r="S45" s="20" t="str">
        <x:v>Click Widget Task</x:v>
      </x:c>
      <x:c r="T45" s="20" t="str">
        <x:v>RootWebArea 'Click Widget Task', focused [14] textbox '' value='VIh' StaticText 'VIh' [16] textbox '' value='U0aFP' StaticText 'U0aFP' [18] textbox '' value='Npfh', clickable StaticText 'Npfh' [20] LabelText '', clickable [21] checkbox 'c', clickable, focused, checked='true' StaticText 'c' [23] textbox '' value='f' StaticText 'f'</x:v>
      </x:c>
      <x:c r="U45" s="6" t="str">
        <x:v>0</x:v>
      </x:c>
      <x:c r="V45" s="6" t="str">
        <x:v>0</x:v>
      </x:c>
      <x:c r="W45" s="6" t="str">
        <x:v>0</x:v>
      </x:c>
      <x:c r="X45" s="6" t="str">
        <x:v>1</x:v>
      </x:c>
      <x:c r="Y45" s="6" t="str">
        <x:v>0</x:v>
      </x:c>
      <x:c r="Z45" s="6" t="str">
        <x:v>1</x:v>
      </x:c>
      <x:c r="AA45" s="6" t="str">
        <x:v>0.0</x:v>
      </x:c>
      <x:c r="AB45" s="20" t="str">
        <x:v>Codex证据复核v1：原始记录唯一匹配、环境实测、反事实配对ID完整、终止且非成功、奖励非正、队列标签与结果派生规则一致；非人工签字。</x:v>
      </x:c>
    </x:row>
    <x:row r="46" ht="46" customHeight="1">
      <x:c r="A46" s="6" t="str">
        <x:v>1</x:v>
      </x:c>
      <x:c r="B46" s="6" t="str">
        <x:v>cb2e35631ada8aee8d15</x:v>
      </x:c>
      <x:c r="C46" s="6" t="str">
        <x:v>evidence_approved</x:v>
      </x:c>
      <x:c r="D46" s="6" t="str">
        <x:v>codex-evidence-review-v1</x:v>
      </x:c>
      <x:c r="E46" s="22" t="n">
        <x:v>46244.40206471065</x:v>
      </x:c>
      <x:c r="F46" s="6" t="str">
        <x:v>20</x:v>
      </x:c>
      <x:c r="G46" s="20" t="str">
        <x:v>observed_counterfactual;severe_failure;terminal</x:v>
      </x:c>
      <x:c r="H46" s="20" t="str">
        <x:v>browsergym/miniwob.choose-list</x:v>
      </x:c>
      <x:c r="I46" s="6" t="str">
        <x:v>browsergym/miniwob.choose-list</x:v>
      </x:c>
      <x:c r="J46" s="6" t="str">
        <x:v>cf-choose-list-seed1012-hard_wrong_target</x:v>
      </x:c>
      <x:c r="K46" s="6" t="str">
        <x:v>0</x:v>
      </x:c>
      <x:c r="L46" s="20" t="str">
        <x:v>Select Kristin from the list and click Submit.</x:v>
      </x:c>
      <x:c r="M46" s="20" t="str">
        <x:v>click("20", "left")</x:v>
      </x:c>
      <x:c r="N46" s="6" t="str">
        <x:v>0.0</x:v>
      </x:c>
      <x:c r="O46" s="20" t="str">
        <x:v>file:///root/autodl-tmp/miniwob-plusplus/miniwob/html/miniwob/choose-list.html</x:v>
      </x:c>
      <x:c r="P46" s="20" t="str">
        <x:v>Choose List Task</x:v>
      </x:c>
      <x:c r="Q46" s="20" t="str">
        <x:v>RootWebArea 'Choose List Task', focused [13] combobox '' value='Donni', hasPopup='menu', expanded=False [20] button 'Submit', clickable</x:v>
      </x:c>
      <x:c r="R46" s="20" t="str">
        <x:v>file:///root/autodl-tmp/miniwob-plusplus/miniwob/html/miniwob/choose-list.html</x:v>
      </x:c>
      <x:c r="S46" s="20" t="str">
        <x:v>Choose List Task</x:v>
      </x:c>
      <x:c r="T46" s="20" t="str">
        <x:v>RootWebArea 'Choose List Task', focused [13] combobox '' value='Donni', hasPopup='menu', expanded=False [20] button 'Submit', clickable, focused</x:v>
      </x:c>
      <x:c r="U46" s="6" t="str">
        <x:v>0</x:v>
      </x:c>
      <x:c r="V46" s="6" t="str">
        <x:v>0</x:v>
      </x:c>
      <x:c r="W46" s="6" t="str">
        <x:v>0</x:v>
      </x:c>
      <x:c r="X46" s="6" t="str">
        <x:v>1</x:v>
      </x:c>
      <x:c r="Y46" s="6" t="str">
        <x:v>0</x:v>
      </x:c>
      <x:c r="Z46" s="6" t="str">
        <x:v>1</x:v>
      </x:c>
      <x:c r="AA46" s="6" t="str">
        <x:v>0.0</x:v>
      </x:c>
      <x:c r="AB46" s="20" t="str">
        <x:v>Codex证据复核v1：原始记录唯一匹配、环境实测、反事实配对ID完整、终止且非成功、奖励非正、队列标签与结果派生规则一致；非人工签字。</x:v>
      </x:c>
    </x:row>
    <x:row r="47" ht="46" customHeight="1">
      <x:c r="A47" s="6" t="str">
        <x:v>1</x:v>
      </x:c>
      <x:c r="B47" s="6" t="str">
        <x:v>422389685dcb0b71a5b0</x:v>
      </x:c>
      <x:c r="C47" s="6" t="str">
        <x:v>evidence_approved</x:v>
      </x:c>
      <x:c r="D47" s="6" t="str">
        <x:v>codex-evidence-review-v1</x:v>
      </x:c>
      <x:c r="E47" s="22" t="n">
        <x:v>46244.40206471065</x:v>
      </x:c>
      <x:c r="F47" s="6" t="str">
        <x:v>20</x:v>
      </x:c>
      <x:c r="G47" s="20" t="str">
        <x:v>observed_counterfactual;severe_failure;terminal</x:v>
      </x:c>
      <x:c r="H47" s="20" t="str">
        <x:v>browsergym/miniwob.click-menu</x:v>
      </x:c>
      <x:c r="I47" s="6" t="str">
        <x:v>browsergym/miniwob.click-menu</x:v>
      </x:c>
      <x:c r="J47" s="6" t="str">
        <x:v>cf-click-menu-seed1005-missing_target</x:v>
      </x:c>
      <x:c r="K47" s="6" t="str">
        <x:v>0</x:v>
      </x:c>
      <x:c r="L47" s="20" t="str">
        <x:v>Select Penelopa&gt;Maureen</x:v>
      </x:c>
      <x:c r="M47" s="20" t="str">
        <x:v>click("31", "left")</x:v>
      </x:c>
      <x:c r="N47" s="6" t="str">
        <x:v>0.0</x:v>
      </x:c>
      <x:c r="O47" s="20" t="str">
        <x:v>file:///root/autodl-tmp/miniwob-plusplus/miniwob/html/miniwob/click-menu.html</x:v>
      </x:c>
      <x:c r="P47" s="20" t="str">
        <x:v>Click Menu Task</x:v>
      </x:c>
      <x:c r="Q47" s="20" t="str">
        <x:v>RootWebArea 'Click Menu Task', focused [17] menu '', clickable, orientation='vertical' image '' [19] menuitem 'Cinnamon' image '' [21] menuitem 'Lina', hasPopup='menu' image '' [31] menuitem 'Penelopa', hasPopup='menu' image '' [61] menuitem 'Yetta'</x:v>
      </x:c>
      <x:c r="R47" s="20" t="str">
        <x:v>file:///root/autodl-tmp/miniwob-plusplus/miniwob/html/miniwob/click-menu.html</x:v>
      </x:c>
      <x:c r="S47" s="20" t="str">
        <x:v>Click Menu Task</x:v>
      </x:c>
      <x:c r="T47" s="20" t="str">
        <x:v>RootWebArea 'Click Menu Task', focused [17] menu '', clickable, orientation='vertical' image '' [19] menuitem 'Cinnamon' image '' [21] menuitem 'Lina', hasPopup='menu' image '' [31] menuitem 'Penelopa', hasPopup='menu' [33] menu '', orientation='vertical' image '' [35] menuitem 'Maureen' image '' [37] menuitem 'Beatrix' image '' [39] menuitem 'Querida', hasPopup='menu' image '' [51] menuitem 'Myrna', hasPopup='menu' image '' [61] menuitem 'Yetta'</x:v>
      </x:c>
      <x:c r="U47" s="6" t="str">
        <x:v>0</x:v>
      </x:c>
      <x:c r="V47" s="6" t="str">
        <x:v>0</x:v>
      </x:c>
      <x:c r="W47" s="6" t="str">
        <x:v>0</x:v>
      </x:c>
      <x:c r="X47" s="6" t="str">
        <x:v>1</x:v>
      </x:c>
      <x:c r="Y47" s="6" t="str">
        <x:v>0</x:v>
      </x:c>
      <x:c r="Z47" s="6" t="str">
        <x:v>1</x:v>
      </x:c>
      <x:c r="AA47" s="6" t="str">
        <x:v>0.0</x:v>
      </x:c>
      <x:c r="AB47" s="20" t="str">
        <x:v>Codex证据复核v1：原始记录唯一匹配、环境实测、反事实配对ID完整、终止且非成功、奖励非正、队列标签与结果派生规则一致；非人工签字。</x:v>
      </x:c>
    </x:row>
    <x:row r="48" ht="46" customHeight="1">
      <x:c r="A48" s="6" t="str">
        <x:v>1</x:v>
      </x:c>
      <x:c r="B48" s="6" t="str">
        <x:v>94e37e5c096900be7280</x:v>
      </x:c>
      <x:c r="C48" s="6" t="str">
        <x:v>evidence_approved</x:v>
      </x:c>
      <x:c r="D48" s="6" t="str">
        <x:v>codex-evidence-review-v1</x:v>
      </x:c>
      <x:c r="E48" s="22" t="n">
        <x:v>46244.40206471065</x:v>
      </x:c>
      <x:c r="F48" s="6" t="str">
        <x:v>20</x:v>
      </x:c>
      <x:c r="G48" s="20" t="str">
        <x:v>observed_counterfactual;severe_failure;terminal</x:v>
      </x:c>
      <x:c r="H48" s="20" t="str">
        <x:v>browsergym/miniwob.click-collapsible</x:v>
      </x:c>
      <x:c r="I48" s="6" t="str">
        <x:v>browsergym/miniwob.click-collapsible</x:v>
      </x:c>
      <x:c r="J48" s="6" t="str">
        <x:v>cf-click-collapsible-seed1039-hard_wrong_target</x:v>
      </x:c>
      <x:c r="K48" s="6" t="str">
        <x:v>0</x:v>
      </x:c>
      <x:c r="L48" s="20" t="str">
        <x:v>Expand the section below and click submit.</x:v>
      </x:c>
      <x:c r="M48" s="20" t="str">
        <x:v>click("22", "left")</x:v>
      </x:c>
      <x:c r="N48" s="6" t="str">
        <x:v>0.0</x:v>
      </x:c>
      <x:c r="O48" s="20" t="str">
        <x:v>file:///root/autodl-tmp/miniwob-plusplus/miniwob/html/miniwob/click-collapsible.html</x:v>
      </x:c>
      <x:c r="P48" s="20" t="str">
        <x:v>Click Collapsible Task</x:v>
      </x:c>
      <x:c r="Q48" s="20" t="str">
        <x:v>RootWebArea 'Click Collapsible Task', focused [15] tablist '', multiselectable=False, orientation='horizontal' [16] tab 'Section #31', clickable, expanded=False, selected=False, controls='ui-id-2' [19] tab 'Submit', clickable, expanded=False, selected=False [22] button 'Submit', clickable</x:v>
      </x:c>
      <x:c r="R48" s="20" t="str">
        <x:v>file:///root/autodl-tmp/miniwob-plusplus/miniwob/html/miniwob/click-collapsible.html</x:v>
      </x:c>
      <x:c r="S48" s="20" t="str">
        <x:v>Click Collapsible Task</x:v>
      </x:c>
      <x:c r="T48" s="20" t="str">
        <x:v>RootWebArea 'Click Collapsible Task', focused [15] tablist '', multiselectable=False, orientation='horizontal' [16] tab 'Section #31', clickable, expanded=False, selected=False, controls='ui-id-2' [19] tab 'Submit', clickable, expanded=False, selected=False [22] button 'Submit', clickable, focused</x:v>
      </x:c>
      <x:c r="U48" s="6" t="str">
        <x:v>0</x:v>
      </x:c>
      <x:c r="V48" s="6" t="str">
        <x:v>0</x:v>
      </x:c>
      <x:c r="W48" s="6" t="str">
        <x:v>0</x:v>
      </x:c>
      <x:c r="X48" s="6" t="str">
        <x:v>1</x:v>
      </x:c>
      <x:c r="Y48" s="6" t="str">
        <x:v>0</x:v>
      </x:c>
      <x:c r="Z48" s="6" t="str">
        <x:v>1</x:v>
      </x:c>
      <x:c r="AA48" s="6" t="str">
        <x:v>0.0</x:v>
      </x:c>
      <x:c r="AB48" s="20" t="str">
        <x:v>Codex证据复核v1：原始记录唯一匹配、环境实测、反事实配对ID完整、终止且非成功、奖励非正、队列标签与结果派生规则一致；非人工签字。</x:v>
      </x:c>
    </x:row>
    <x:row r="49" ht="46" customHeight="1">
      <x:c r="A49" s="6" t="str">
        <x:v>1</x:v>
      </x:c>
      <x:c r="B49" s="6" t="str">
        <x:v>f040532a493731076a54</x:v>
      </x:c>
      <x:c r="C49" s="6" t="str">
        <x:v>evidence_approved</x:v>
      </x:c>
      <x:c r="D49" s="6" t="str">
        <x:v>codex-evidence-review-v1</x:v>
      </x:c>
      <x:c r="E49" s="22" t="n">
        <x:v>46244.40206471065</x:v>
      </x:c>
      <x:c r="F49" s="6" t="str">
        <x:v>20</x:v>
      </x:c>
      <x:c r="G49" s="20" t="str">
        <x:v>observed_counterfactual;severe_failure;terminal</x:v>
      </x:c>
      <x:c r="H49" s="20" t="str">
        <x:v>browsergym/miniwob.click-test-2</x:v>
      </x:c>
      <x:c r="I49" s="6" t="str">
        <x:v>browsergym/miniwob.click-test-2</x:v>
      </x:c>
      <x:c r="J49" s="6" t="str">
        <x:v>cf-click-test-2-seed1010-hard_wrong_target</x:v>
      </x:c>
      <x:c r="K49" s="6" t="str">
        <x:v>0</x:v>
      </x:c>
      <x:c r="L49" s="20" t="str">
        <x:v>Click button ONE.</x:v>
      </x:c>
      <x:c r="M49" s="20" t="str">
        <x:v>click("14", "left")</x:v>
      </x:c>
      <x:c r="N49" s="6" t="str">
        <x:v>0.0</x:v>
      </x:c>
      <x:c r="O49" s="20" t="str">
        <x:v>file:///root/autodl-tmp/miniwob-plusplus/miniwob/html/miniwob/click-test-2.html</x:v>
      </x:c>
      <x:c r="P49" s="20" t="str">
        <x:v>Click Test Task</x:v>
      </x:c>
      <x:c r="Q49" s="20" t="str">
        <x:v>RootWebArea 'Click Test Task', focused [13] button 'ONE', clickable [14] button 'TWO', clickable</x:v>
      </x:c>
      <x:c r="R49" s="20" t="str">
        <x:v>file:///root/autodl-tmp/miniwob-plusplus/miniwob/html/miniwob/click-test-2.html</x:v>
      </x:c>
      <x:c r="S49" s="20" t="str">
        <x:v>Click Test Task</x:v>
      </x:c>
      <x:c r="T49" s="20" t="str">
        <x:v>RootWebArea 'Click Test Task', focused [13] button 'ONE', clickable [14] button 'TWO', clickable, focused</x:v>
      </x:c>
      <x:c r="U49" s="6" t="str">
        <x:v>0</x:v>
      </x:c>
      <x:c r="V49" s="6" t="str">
        <x:v>0</x:v>
      </x:c>
      <x:c r="W49" s="6" t="str">
        <x:v>0</x:v>
      </x:c>
      <x:c r="X49" s="6" t="str">
        <x:v>1</x:v>
      </x:c>
      <x:c r="Y49" s="6" t="str">
        <x:v>0</x:v>
      </x:c>
      <x:c r="Z49" s="6" t="str">
        <x:v>1</x:v>
      </x:c>
      <x:c r="AA49" s="6" t="str">
        <x:v>0.0</x:v>
      </x:c>
      <x:c r="AB49" s="20" t="str">
        <x:v>Codex证据复核v1：原始记录唯一匹配、环境实测、反事实配对ID完整、终止且非成功、奖励非正、队列标签与结果派生规则一致；非人工签字。</x:v>
      </x:c>
    </x:row>
    <x:row r="50" ht="46" customHeight="1">
      <x:c r="A50" s="6" t="str">
        <x:v>1</x:v>
      </x:c>
      <x:c r="B50" s="6" t="str">
        <x:v>561e435c0f2dbfb72a14</x:v>
      </x:c>
      <x:c r="C50" s="6" t="str">
        <x:v>evidence_approved</x:v>
      </x:c>
      <x:c r="D50" s="6" t="str">
        <x:v>codex-evidence-review-v1</x:v>
      </x:c>
      <x:c r="E50" s="22" t="n">
        <x:v>46244.40206471065</x:v>
      </x:c>
      <x:c r="F50" s="6" t="str">
        <x:v>20</x:v>
      </x:c>
      <x:c r="G50" s="20" t="str">
        <x:v>observed_counterfactual;severe_failure;terminal</x:v>
      </x:c>
      <x:c r="H50" s="20" t="str">
        <x:v>browsergym/miniwob.click-test-2</x:v>
      </x:c>
      <x:c r="I50" s="6" t="str">
        <x:v>browsergym/miniwob.click-test-2</x:v>
      </x:c>
      <x:c r="J50" s="6" t="str">
        <x:v>cf-click-test-2-seed1011-hard_wrong_target</x:v>
      </x:c>
      <x:c r="K50" s="6" t="str">
        <x:v>0</x:v>
      </x:c>
      <x:c r="L50" s="20" t="str">
        <x:v>Click button ONE.</x:v>
      </x:c>
      <x:c r="M50" s="20" t="str">
        <x:v>click("14", "left")</x:v>
      </x:c>
      <x:c r="N50" s="6" t="str">
        <x:v>0.0</x:v>
      </x:c>
      <x:c r="O50" s="20" t="str">
        <x:v>file:///root/autodl-tmp/miniwob-plusplus/miniwob/html/miniwob/click-test-2.html</x:v>
      </x:c>
      <x:c r="P50" s="20" t="str">
        <x:v>Click Test Task</x:v>
      </x:c>
      <x:c r="Q50" s="20" t="str">
        <x:v>RootWebArea 'Click Test Task', focused [13] button 'ONE', clickable [14] button 'TWO', clickable</x:v>
      </x:c>
      <x:c r="R50" s="20" t="str">
        <x:v>file:///root/autodl-tmp/miniwob-plusplus/miniwob/html/miniwob/click-test-2.html</x:v>
      </x:c>
      <x:c r="S50" s="20" t="str">
        <x:v>Click Test Task</x:v>
      </x:c>
      <x:c r="T50" s="20" t="str">
        <x:v>RootWebArea 'Click Test Task', focused [13] button 'ONE', clickable [14] button 'TWO', clickable, focused</x:v>
      </x:c>
      <x:c r="U50" s="6" t="str">
        <x:v>0</x:v>
      </x:c>
      <x:c r="V50" s="6" t="str">
        <x:v>0</x:v>
      </x:c>
      <x:c r="W50" s="6" t="str">
        <x:v>0</x:v>
      </x:c>
      <x:c r="X50" s="6" t="str">
        <x:v>1</x:v>
      </x:c>
      <x:c r="Y50" s="6" t="str">
        <x:v>0</x:v>
      </x:c>
      <x:c r="Z50" s="6" t="str">
        <x:v>1</x:v>
      </x:c>
      <x:c r="AA50" s="6" t="str">
        <x:v>0.0</x:v>
      </x:c>
      <x:c r="AB50" s="20" t="str">
        <x:v>Codex证据复核v1：原始记录唯一匹配、环境实测、反事实配对ID完整、终止且非成功、奖励非正、队列标签与结果派生规则一致；非人工签字。</x:v>
      </x:c>
    </x:row>
    <x:row r="51" ht="46" customHeight="1">
      <x:c r="A51" s="6" t="str">
        <x:v>1</x:v>
      </x:c>
      <x:c r="B51" s="6" t="str">
        <x:v>c1c40df59199a46cdd5f</x:v>
      </x:c>
      <x:c r="C51" s="6" t="str">
        <x:v>evidence_approved</x:v>
      </x:c>
      <x:c r="D51" s="6" t="str">
        <x:v>codex-evidence-review-v1</x:v>
      </x:c>
      <x:c r="E51" s="22" t="n">
        <x:v>46244.40206471065</x:v>
      </x:c>
      <x:c r="F51" s="6" t="str">
        <x:v>20</x:v>
      </x:c>
      <x:c r="G51" s="20" t="str">
        <x:v>observed_counterfactual;severe_failure;terminal</x:v>
      </x:c>
      <x:c r="H51" s="20" t="str">
        <x:v>browsergym/miniwob.choose-list</x:v>
      </x:c>
      <x:c r="I51" s="6" t="str">
        <x:v>browsergym/miniwob.choose-list</x:v>
      </x:c>
      <x:c r="J51" s="6" t="str">
        <x:v>cf-choose-list-seed1011-wrong_action_type</x:v>
      </x:c>
      <x:c r="K51" s="6" t="str">
        <x:v>0</x:v>
      </x:c>
      <x:c r="L51" s="20" t="str">
        <x:v>Select Nona from the list and click Submit.</x:v>
      </x:c>
      <x:c r="M51" s="20" t="str">
        <x:v>click("19", "left")</x:v>
      </x:c>
      <x:c r="N51" s="6" t="str">
        <x:v>0.0</x:v>
      </x:c>
      <x:c r="O51" s="20" t="str">
        <x:v>file:///root/autodl-tmp/miniwob-plusplus/miniwob/html/miniwob/choose-list.html</x:v>
      </x:c>
      <x:c r="P51" s="20" t="str">
        <x:v>Choose List Task</x:v>
      </x:c>
      <x:c r="Q51" s="20" t="str">
        <x:v>RootWebArea 'Choose List Task', focused [13] combobox '' value='Lucienne', hasPopup='menu', expanded=False [19] button 'Submit', clickable</x:v>
      </x:c>
      <x:c r="R51" s="20" t="str">
        <x:v>file:///root/autodl-tmp/miniwob-plusplus/miniwob/html/miniwob/choose-list.html</x:v>
      </x:c>
      <x:c r="S51" s="20" t="str">
        <x:v>Choose List Task</x:v>
      </x:c>
      <x:c r="T51" s="20" t="str">
        <x:v>RootWebArea 'Choose List Task', focused [13] combobox '' value='Lucienne', hasPopup='menu', expanded=False [19] button 'Submit', clickable, focused</x:v>
      </x:c>
      <x:c r="U51" s="6" t="str">
        <x:v>0</x:v>
      </x:c>
      <x:c r="V51" s="6" t="str">
        <x:v>0</x:v>
      </x:c>
      <x:c r="W51" s="6" t="str">
        <x:v>0</x:v>
      </x:c>
      <x:c r="X51" s="6" t="str">
        <x:v>1</x:v>
      </x:c>
      <x:c r="Y51" s="6" t="str">
        <x:v>0</x:v>
      </x:c>
      <x:c r="Z51" s="6" t="str">
        <x:v>1</x:v>
      </x:c>
      <x:c r="AA51" s="6" t="str">
        <x:v>0.0</x:v>
      </x:c>
      <x:c r="AB51" s="20" t="str">
        <x:v>Codex证据复核v1：原始记录唯一匹配、环境实测、反事实配对ID完整、终止且非成功、奖励非正、队列标签与结果派生规则一致；非人工签字。</x:v>
      </x:c>
    </x:row>
    <x:row r="52" ht="46" customHeight="1">
      <x:c r="A52" s="6" t="str">
        <x:v>1</x:v>
      </x:c>
      <x:c r="B52" s="6" t="str">
        <x:v>519d018f91e4b8ae3018</x:v>
      </x:c>
      <x:c r="C52" s="6" t="str">
        <x:v>evidence_approved</x:v>
      </x:c>
      <x:c r="D52" s="6" t="str">
        <x:v>codex-evidence-review-v1</x:v>
      </x:c>
      <x:c r="E52" s="22" t="n">
        <x:v>46244.40206471065</x:v>
      </x:c>
      <x:c r="F52" s="6" t="str">
        <x:v>20</x:v>
      </x:c>
      <x:c r="G52" s="20" t="str">
        <x:v>observed_counterfactual;severe_failure;terminal</x:v>
      </x:c>
      <x:c r="H52" s="20" t="str">
        <x:v>browsergym/miniwob.click-widget</x:v>
      </x:c>
      <x:c r="I52" s="6" t="str">
        <x:v>browsergym/miniwob.click-widget</x:v>
      </x:c>
      <x:c r="J52" s="6" t="str">
        <x:v>cf-click-widget-seed1028-missing_target</x:v>
      </x:c>
      <x:c r="K52" s="6" t="str">
        <x:v>0</x:v>
      </x:c>
      <x:c r="L52" s="20" t="str">
        <x:v>Click on a "radio" widget.</x:v>
      </x:c>
      <x:c r="M52" s="20" t="str">
        <x:v>click("20", "left")</x:v>
      </x:c>
      <x:c r="N52" s="6" t="str">
        <x:v>0.0</x:v>
      </x:c>
      <x:c r="O52" s="20" t="str">
        <x:v>file:///root/autodl-tmp/miniwob-plusplus/miniwob/html/miniwob/click-widget.html</x:v>
      </x:c>
      <x:c r="P52" s="20" t="str">
        <x:v>Click Widget Task</x:v>
      </x:c>
      <x:c r="Q52" s="20" t="str">
        <x:v>RootWebArea 'Click Widget Task', focused [14] textbox '' value='6N6zT' StaticText '6N6zT' [16] LabelText '', clickable [17] radio '430nw', clickable, checked='false' StaticText '430nw' [19] LabelText '', clickable [20] checkbox 'f', clickable, checked='false' StaticText 'f' [22] textbox '' value='mp3ja' StaticText 'mp3ja' [24] textbox '' value='JR7JF', clickable StaticText 'JR7JF'</x:v>
      </x:c>
      <x:c r="R52" s="20" t="str">
        <x:v>file:///root/autodl-tmp/miniwob-plusplus/miniwob/html/miniwob/click-widget.html</x:v>
      </x:c>
      <x:c r="S52" s="20" t="str">
        <x:v>Click Widget Task</x:v>
      </x:c>
      <x:c r="T52" s="20" t="str">
        <x:v>RootWebArea 'Click Widget Task', focused [14] textbox '' value='6N6zT' StaticText '6N6zT' [16] LabelText '', clickable [17] radio '430nw', clickable, checked='false' StaticText '430nw' [19] LabelText '', clickable [20] checkbox 'f', clickable, focused, checked='true' StaticText 'f' [22] textbox '' value='mp3ja' StaticText 'mp3ja' [24] textbox '' value='JR7JF', clickable StaticText 'JR7JF'</x:v>
      </x:c>
      <x:c r="U52" s="6" t="str">
        <x:v>0</x:v>
      </x:c>
      <x:c r="V52" s="6" t="str">
        <x:v>0</x:v>
      </x:c>
      <x:c r="W52" s="6" t="str">
        <x:v>0</x:v>
      </x:c>
      <x:c r="X52" s="6" t="str">
        <x:v>1</x:v>
      </x:c>
      <x:c r="Y52" s="6" t="str">
        <x:v>0</x:v>
      </x:c>
      <x:c r="Z52" s="6" t="str">
        <x:v>1</x:v>
      </x:c>
      <x:c r="AA52" s="6" t="str">
        <x:v>0.0</x:v>
      </x:c>
      <x:c r="AB52" s="20" t="str">
        <x:v>Codex证据复核v1：原始记录唯一匹配、环境实测、反事实配对ID完整、终止且非成功、奖励非正、队列标签与结果派生规则一致；非人工签字。</x:v>
      </x:c>
    </x:row>
    <x:row r="53" ht="46" customHeight="1">
      <x:c r="A53" s="6" t="str">
        <x:v>1</x:v>
      </x:c>
      <x:c r="B53" s="6" t="str">
        <x:v>d7991936e179486de80d</x:v>
      </x:c>
      <x:c r="C53" s="6" t="str">
        <x:v>evidence_approved</x:v>
      </x:c>
      <x:c r="D53" s="6" t="str">
        <x:v>codex-evidence-review-v1</x:v>
      </x:c>
      <x:c r="E53" s="22" t="n">
        <x:v>46244.40206471065</x:v>
      </x:c>
      <x:c r="F53" s="6" t="str">
        <x:v>20</x:v>
      </x:c>
      <x:c r="G53" s="20" t="str">
        <x:v>observed_counterfactual;severe_failure;terminal</x:v>
      </x:c>
      <x:c r="H53" s="20" t="str">
        <x:v>browsergym/miniwob.enter-password</x:v>
      </x:c>
      <x:c r="I53" s="6" t="str">
        <x:v>browsergym/miniwob.enter-password</x:v>
      </x:c>
      <x:c r="J53" s="6" t="str">
        <x:v>cf-enter-password-seed1032-hard_wrong_target</x:v>
      </x:c>
      <x:c r="K53" s="6" t="str">
        <x:v>0</x:v>
      </x:c>
      <x:c r="L53" s="20" t="str">
        <x:v>Enter the password "8uuE" into both text fields and press submit.</x:v>
      </x:c>
      <x:c r="M53" s="20" t="str">
        <x:v>click("20", "left")</x:v>
      </x:c>
      <x:c r="N53" s="6" t="str">
        <x:v>0.0</x:v>
      </x:c>
      <x:c r="O53" s="20" t="str">
        <x:v>file:///root/autodl-tmp/miniwob-plusplus/miniwob/html/miniwob/enter-password.html</x:v>
      </x:c>
      <x:c r="P53" s="20" t="str">
        <x:v>Enter Password Task</x:v>
      </x:c>
      <x:c r="Q53" s="20" t="str">
        <x:v>RootWebArea 'Enter Password Task', focused [14] paragraph '' [15] LabelText '' StaticText 'Password' [16] textbox '', clickable [17] paragraph '' [18] LabelText '' StaticText 'Verify password' [19] textbox '', clickable [20] button 'Submit', clickable</x:v>
      </x:c>
      <x:c r="R53" s="20" t="str">
        <x:v>file:///root/autodl-tmp/miniwob-plusplus/miniwob/html/miniwob/enter-password.html</x:v>
      </x:c>
      <x:c r="S53" s="20" t="str">
        <x:v>Enter Password Task</x:v>
      </x:c>
      <x:c r="T53" s="20" t="str">
        <x:v>RootWebArea 'Enter Password Task', focused [14] paragraph '' [15] LabelText '' StaticText 'Password' [16] textbox '', clickable [17] paragraph '' [18] LabelText '' StaticText 'Verify password' [19] textbox '', clickable [20] button 'Submit', clickable, focused</x:v>
      </x:c>
      <x:c r="U53" s="6" t="str">
        <x:v>0</x:v>
      </x:c>
      <x:c r="V53" s="6" t="str">
        <x:v>0</x:v>
      </x:c>
      <x:c r="W53" s="6" t="str">
        <x:v>0</x:v>
      </x:c>
      <x:c r="X53" s="6" t="str">
        <x:v>1</x:v>
      </x:c>
      <x:c r="Y53" s="6" t="str">
        <x:v>0</x:v>
      </x:c>
      <x:c r="Z53" s="6" t="str">
        <x:v>1</x:v>
      </x:c>
      <x:c r="AA53" s="6" t="str">
        <x:v>0.0</x:v>
      </x:c>
      <x:c r="AB53" s="20" t="str">
        <x:v>Codex证据复核v1：原始记录唯一匹配、环境实测、反事实配对ID完整、终止且非成功、奖励非正、队列标签与结果派生规则一致；非人工签字。</x:v>
      </x:c>
    </x:row>
    <x:row r="54" ht="46" customHeight="1">
      <x:c r="A54" s="6" t="str">
        <x:v>1</x:v>
      </x:c>
      <x:c r="B54" s="6" t="str">
        <x:v>74378bb2c41fd0c13b86</x:v>
      </x:c>
      <x:c r="C54" s="6" t="str">
        <x:v>evidence_approved</x:v>
      </x:c>
      <x:c r="D54" s="6" t="str">
        <x:v>codex-evidence-review-v1</x:v>
      </x:c>
      <x:c r="E54" s="22" t="n">
        <x:v>46244.40206471065</x:v>
      </x:c>
      <x:c r="F54" s="6" t="str">
        <x:v>20</x:v>
      </x:c>
      <x:c r="G54" s="20" t="str">
        <x:v>observed_counterfactual;severe_failure;terminal</x:v>
      </x:c>
      <x:c r="H54" s="20" t="str">
        <x:v>browsergym/miniwob.enter-text</x:v>
      </x:c>
      <x:c r="I54" s="6" t="str">
        <x:v>browsergym/miniwob.enter-text</x:v>
      </x:c>
      <x:c r="J54" s="6" t="str">
        <x:v>cf-enter-text-seed1030-hard_wrong_target</x:v>
      </x:c>
      <x:c r="K54" s="6" t="str">
        <x:v>0</x:v>
      </x:c>
      <x:c r="L54" s="20" t="str">
        <x:v>Enter "Beaulah" into the text field and press Submit.</x:v>
      </x:c>
      <x:c r="M54" s="20" t="str">
        <x:v>click("15", "left")</x:v>
      </x:c>
      <x:c r="N54" s="6" t="str">
        <x:v>0.0</x:v>
      </x:c>
      <x:c r="O54" s="20" t="str">
        <x:v>file:///root/autodl-tmp/miniwob-plusplus/miniwob/html/miniwob/enter-text.html</x:v>
      </x:c>
      <x:c r="P54" s="20" t="str">
        <x:v>Enter Text Task</x:v>
      </x:c>
      <x:c r="Q54" s="20" t="str">
        <x:v>RootWebArea 'Enter Text Task', focused [14] textbox '', clickable [15] button 'Submit', clickable</x:v>
      </x:c>
      <x:c r="R54" s="20" t="str">
        <x:v>file:///root/autodl-tmp/miniwob-plusplus/miniwob/html/miniwob/enter-text.html</x:v>
      </x:c>
      <x:c r="S54" s="20" t="str">
        <x:v>Enter Text Task</x:v>
      </x:c>
      <x:c r="T54" s="20" t="str">
        <x:v>RootWebArea 'Enter Text Task', focused [14] textbox '', clickable [15] button 'Submit', clickable, focused</x:v>
      </x:c>
      <x:c r="U54" s="6" t="str">
        <x:v>0</x:v>
      </x:c>
      <x:c r="V54" s="6" t="str">
        <x:v>0</x:v>
      </x:c>
      <x:c r="W54" s="6" t="str">
        <x:v>0</x:v>
      </x:c>
      <x:c r="X54" s="6" t="str">
        <x:v>1</x:v>
      </x:c>
      <x:c r="Y54" s="6" t="str">
        <x:v>0</x:v>
      </x:c>
      <x:c r="Z54" s="6" t="str">
        <x:v>1</x:v>
      </x:c>
      <x:c r="AA54" s="6" t="str">
        <x:v>0.0</x:v>
      </x:c>
      <x:c r="AB54" s="20" t="str">
        <x:v>Codex证据复核v1：原始记录唯一匹配、环境实测、反事实配对ID完整、终止且非成功、奖励非正、队列标签与结果派生规则一致；非人工签字。</x:v>
      </x:c>
    </x:row>
    <x:row r="55" ht="46" customHeight="1">
      <x:c r="A55" s="6" t="str">
        <x:v>1</x:v>
      </x:c>
      <x:c r="B55" s="6" t="str">
        <x:v>4b6297c8c9590d15c4be</x:v>
      </x:c>
      <x:c r="C55" s="6" t="str">
        <x:v>evidence_approved</x:v>
      </x:c>
      <x:c r="D55" s="6" t="str">
        <x:v>codex-evidence-review-v1</x:v>
      </x:c>
      <x:c r="E55" s="22" t="n">
        <x:v>46244.40206471065</x:v>
      </x:c>
      <x:c r="F55" s="6" t="str">
        <x:v>20</x:v>
      </x:c>
      <x:c r="G55" s="20" t="str">
        <x:v>observed_counterfactual;severe_failure;terminal</x:v>
      </x:c>
      <x:c r="H55" s="20" t="str">
        <x:v>browsergym/miniwob.login-user</x:v>
      </x:c>
      <x:c r="I55" s="6" t="str">
        <x:v>browsergym/miniwob.login-user</x:v>
      </x:c>
      <x:c r="J55" s="6" t="str">
        <x:v>cf-login-user-seed1018-hard_wrong_target</x:v>
      </x:c>
      <x:c r="K55" s="6" t="str">
        <x:v>0</x:v>
      </x:c>
      <x:c r="L55" s="20" t="str">
        <x:v>Enter the username "myron" and the password "prAMY" into the text fields and press login.</x:v>
      </x:c>
      <x:c r="M55" s="20" t="str">
        <x:v>click("20", "left")</x:v>
      </x:c>
      <x:c r="N55" s="6" t="str">
        <x:v>0.0</x:v>
      </x:c>
      <x:c r="O55" s="20" t="str">
        <x:v>file:///root/autodl-tmp/miniwob-plusplus/miniwob/html/miniwob/login-user.html</x:v>
      </x:c>
      <x:c r="P55" s="20" t="str">
        <x:v>Login User Task</x:v>
      </x:c>
      <x:c r="Q55" s="20" t="str">
        <x:v>RootWebArea 'Login User Task', focused [14] paragraph '' [15] LabelText '' StaticText 'Username' [16] textbox '', clickable [17] paragraph '' [18] LabelText '' StaticText 'Password' [19] textbox '', clickable [20] button 'Login', clickable</x:v>
      </x:c>
      <x:c r="R55" s="20" t="str">
        <x:v>file:///root/autodl-tmp/miniwob-plusplus/miniwob/html/miniwob/login-user.html</x:v>
      </x:c>
      <x:c r="S55" s="20" t="str">
        <x:v>Login User Task</x:v>
      </x:c>
      <x:c r="T55" s="20" t="str">
        <x:v>RootWebArea 'Login User Task', focused [14] paragraph '' [15] LabelText '' StaticText 'Username' [16] textbox '', clickable [17] paragraph '' [18] LabelText '' StaticText 'Password' [19] textbox '', clickable [20] button 'Login', clickable, focused</x:v>
      </x:c>
      <x:c r="U55" s="6" t="str">
        <x:v>0</x:v>
      </x:c>
      <x:c r="V55" s="6" t="str">
        <x:v>0</x:v>
      </x:c>
      <x:c r="W55" s="6" t="str">
        <x:v>0</x:v>
      </x:c>
      <x:c r="X55" s="6" t="str">
        <x:v>1</x:v>
      </x:c>
      <x:c r="Y55" s="6" t="str">
        <x:v>0</x:v>
      </x:c>
      <x:c r="Z55" s="6" t="str">
        <x:v>1</x:v>
      </x:c>
      <x:c r="AA55" s="6" t="str">
        <x:v>0.0</x:v>
      </x:c>
      <x:c r="AB55" s="20" t="str">
        <x:v>Codex证据复核v1：原始记录唯一匹配、环境实测、反事实配对ID完整、终止且非成功、奖励非正、队列标签与结果派生规则一致；非人工签字。</x:v>
      </x:c>
    </x:row>
    <x:row r="56" ht="46" customHeight="1">
      <x:c r="A56" s="6" t="str">
        <x:v>1</x:v>
      </x:c>
      <x:c r="B56" s="6" t="str">
        <x:v>5ebafebee6a1a93aaea5</x:v>
      </x:c>
      <x:c r="C56" s="6" t="str">
        <x:v>evidence_approved</x:v>
      </x:c>
      <x:c r="D56" s="6" t="str">
        <x:v>codex-evidence-review-v1</x:v>
      </x:c>
      <x:c r="E56" s="22" t="n">
        <x:v>46244.40206471065</x:v>
      </x:c>
      <x:c r="F56" s="6" t="str">
        <x:v>20</x:v>
      </x:c>
      <x:c r="G56" s="20" t="str">
        <x:v>observed_counterfactual;severe_failure;terminal</x:v>
      </x:c>
      <x:c r="H56" s="20" t="str">
        <x:v>browsergym/miniwob.click-dialog-2</x:v>
      </x:c>
      <x:c r="I56" s="6" t="str">
        <x:v>browsergym/miniwob.click-dialog-2</x:v>
      </x:c>
      <x:c r="J56" s="6" t="str">
        <x:v>cf-click-dialog-2-seed1030-hard_wrong_target</x:v>
      </x:c>
      <x:c r="K56" s="6" t="str">
        <x:v>0</x:v>
      </x:c>
      <x:c r="L56" s="20" t="str">
        <x:v>Click the button in the dialog box labeled "x".</x:v>
      </x:c>
      <x:c r="M56" s="20" t="str">
        <x:v>click("27", "left")</x:v>
      </x:c>
      <x:c r="N56" s="6" t="str">
        <x:v>0.0</x:v>
      </x:c>
      <x:c r="O56" s="20" t="str">
        <x:v>file:///root/autodl-tmp/miniwob-plusplus/miniwob/html/miniwob/click-dialog-2.html</x:v>
      </x:c>
      <x:c r="P56" s="20" t="str">
        <x:v>Click Dialog Task</x:v>
      </x:c>
      <x:c r="Q56" s="20" t="str">
        <x:v>RootWebArea 'Click Dialog Task', focused [17] dialog '', clickable, modal=False, describedby='dialog' StaticText '' [20] button 'Close', clickable [24] paragraph '' StaticText 'Vitae. Condimentum. Dictum arcu ornare.' [27] button 'Cancel', clickable, focused [28] button 'OK', clickable</x:v>
      </x:c>
      <x:c r="R56" s="20" t="str">
        <x:v>file:///root/autodl-tmp/miniwob-plusplus/miniwob/html/miniwob/click-dialog-2.html</x:v>
      </x:c>
      <x:c r="S56" s="20" t="str">
        <x:v>Click Dialog Task</x:v>
      </x:c>
      <x:c r="T56" s="20" t="str">
        <x:v>RootWebArea 'Click Dialog Task', focused [17] dialog '', clickable, modal=False, describedby='dialog' StaticText '' [20] button 'Close', clickable [24] paragraph '' StaticText 'Vitae. Condimentum. Dictum arcu ornare.' [27] button 'Cancel', clickable, focused [28] button 'OK', clickable</x:v>
      </x:c>
      <x:c r="U56" s="6" t="str">
        <x:v>0</x:v>
      </x:c>
      <x:c r="V56" s="6" t="str">
        <x:v>0</x:v>
      </x:c>
      <x:c r="W56" s="6" t="str">
        <x:v>0</x:v>
      </x:c>
      <x:c r="X56" s="6" t="str">
        <x:v>1</x:v>
      </x:c>
      <x:c r="Y56" s="6" t="str">
        <x:v>0</x:v>
      </x:c>
      <x:c r="Z56" s="6" t="str">
        <x:v>1</x:v>
      </x:c>
      <x:c r="AA56" s="6" t="str">
        <x:v>0.0</x:v>
      </x:c>
      <x:c r="AB56" s="20" t="str">
        <x:v>Codex证据复核v1：原始记录唯一匹配、环境实测、反事实配对ID完整、终止且非成功、奖励非正、队列标签与结果派生规则一致；非人工签字。</x:v>
      </x:c>
    </x:row>
    <x:row r="57" ht="46" customHeight="1">
      <x:c r="A57" s="6" t="str">
        <x:v>1</x:v>
      </x:c>
      <x:c r="B57" s="6" t="str">
        <x:v>0772a67269656aecb675</x:v>
      </x:c>
      <x:c r="C57" s="6" t="str">
        <x:v>evidence_approved</x:v>
      </x:c>
      <x:c r="D57" s="6" t="str">
        <x:v>codex-evidence-review-v1</x:v>
      </x:c>
      <x:c r="E57" s="22" t="n">
        <x:v>46244.40206471065</x:v>
      </x:c>
      <x:c r="F57" s="6" t="str">
        <x:v>20</x:v>
      </x:c>
      <x:c r="G57" s="20" t="str">
        <x:v>observed_counterfactual;severe_failure;terminal</x:v>
      </x:c>
      <x:c r="H57" s="20" t="str">
        <x:v>browsergym/miniwob.click-checkboxes-soft</x:v>
      </x:c>
      <x:c r="I57" s="6" t="str">
        <x:v>browsergym/miniwob.click-checkboxes-soft</x:v>
      </x:c>
      <x:c r="J57" s="6" t="str">
        <x:v>cf-click-checkboxes-soft-seed1039-missing_target</x:v>
      </x:c>
      <x:c r="K57" s="6" t="str">
        <x:v>0</x:v>
      </x:c>
      <x:c r="L57" s="20" t="str">
        <x:v>Select words similar to hate, fat, laughable, unusual, initiate and click Submit.</x:v>
      </x:c>
      <x:c r="M57" s="20" t="str">
        <x:v>click("36", "left")</x:v>
      </x:c>
      <x:c r="N57" s="6" t="str">
        <x:v>0.0</x:v>
      </x:c>
      <x:c r="O57" s="20" t="str">
        <x:v>file:///root/autodl-tmp/miniwob-plusplus/miniwob/html/miniwob/click-checkboxes-soft.html</x:v>
      </x:c>
      <x:c r="P57" s="20" t="str">
        <x:v>Click Checkboxes Task</x:v>
      </x:c>
      <x:c r="Q57" s="20" t="str">
        <x:v>RootWebArea 'Click Checkboxes Task', focused [17] LabelText '', clickable [18] checkbox 'launch', clickable, checked='false' StaticText 'launch' [20] LabelText '', clickable [21] checkbox 'odd', clickable, checked='false' StaticText 'odd' [23] LabelText '', clickable [24] checkbox 'loathe', clickable, checked='false' StaticText 'loathe' [26] LabelText '', clickable [27] checkbox 'answer', clickable, checked='false' StaticText 'answer' [29] LabelText '', clickable [30] checkbox 'comical', clickable, checked='false' StaticText 'comical' [32] LabelText '', clickable [33] checkbox 'fleshy', clickable, checked='false' StaticText 'fleshy' [36] button 'Submit', clickable</x:v>
      </x:c>
      <x:c r="R57" s="20" t="str">
        <x:v>file:///root/autodl-tmp/miniwob-plusplus/miniwob/html/miniwob/click-checkboxes-soft.html</x:v>
      </x:c>
      <x:c r="S57" s="20" t="str">
        <x:v>Click Checkboxes Task</x:v>
      </x:c>
      <x:c r="T57" s="20" t="str">
        <x:v>RootWebArea 'Click Checkboxes Task', focused [17] LabelText '', clickable [18] checkbox 'launch', clickable, checked='false' StaticText 'launch' [20] LabelText '', clickable [21] checkbox 'odd', clickable, checked='false' StaticText 'odd' [23] LabelText '', clickable [24] checkbox 'loathe', clickable, checked='false' StaticText 'loathe' [26] LabelText '', clickable [27] checkbox 'answer', clickable, checked='false' StaticText 'answer' [29] LabelText '', clickable [30] checkbox 'comical', clickable, checked='false' StaticText 'comical' [32] LabelText '', clickable [33] checkbox 'fleshy', clickable, checked='false' StaticText 'fleshy' [36] button 'Submit', clickable, focused</x:v>
      </x:c>
      <x:c r="U57" s="6" t="str">
        <x:v>0</x:v>
      </x:c>
      <x:c r="V57" s="6" t="str">
        <x:v>0</x:v>
      </x:c>
      <x:c r="W57" s="6" t="str">
        <x:v>0</x:v>
      </x:c>
      <x:c r="X57" s="6" t="str">
        <x:v>1</x:v>
      </x:c>
      <x:c r="Y57" s="6" t="str">
        <x:v>0</x:v>
      </x:c>
      <x:c r="Z57" s="6" t="str">
        <x:v>1</x:v>
      </x:c>
      <x:c r="AA57" s="6" t="str">
        <x:v>0.0</x:v>
      </x:c>
      <x:c r="AB57" s="20" t="str">
        <x:v>Codex证据复核v1：原始记录唯一匹配、环境实测、反事实配对ID完整、终止且非成功、奖励非正、队列标签与结果派生规则一致；非人工签字。</x:v>
      </x:c>
    </x:row>
    <x:row r="58" ht="46" customHeight="1">
      <x:c r="A58" s="6" t="str">
        <x:v>1</x:v>
      </x:c>
      <x:c r="B58" s="6" t="str">
        <x:v>65dcb01c0809ca8e5e02</x:v>
      </x:c>
      <x:c r="C58" s="6" t="str">
        <x:v>evidence_approved</x:v>
      </x:c>
      <x:c r="D58" s="6" t="str">
        <x:v>codex-evidence-review-v1</x:v>
      </x:c>
      <x:c r="E58" s="22" t="n">
        <x:v>46244.40206471065</x:v>
      </x:c>
      <x:c r="F58" s="6" t="str">
        <x:v>20</x:v>
      </x:c>
      <x:c r="G58" s="20" t="str">
        <x:v>observed_counterfactual;severe_failure;terminal</x:v>
      </x:c>
      <x:c r="H58" s="20" t="str">
        <x:v>browsergym/miniwob.click-menu</x:v>
      </x:c>
      <x:c r="I58" s="6" t="str">
        <x:v>browsergym/miniwob.click-menu</x:v>
      </x:c>
      <x:c r="J58" s="6" t="str">
        <x:v>cf-click-menu-seed1026-hard_wrong_target</x:v>
      </x:c>
      <x:c r="K58" s="6" t="str">
        <x:v>0</x:v>
      </x:c>
      <x:c r="L58" s="20" t="str">
        <x:v>Select Edy&gt;Bertine&gt;Elianore</x:v>
      </x:c>
      <x:c r="M58" s="20" t="str">
        <x:v>click("21", "left")</x:v>
      </x:c>
      <x:c r="N58" s="6" t="str">
        <x:v>0.0</x:v>
      </x:c>
      <x:c r="O58" s="20" t="str">
        <x:v>file:///root/autodl-tmp/miniwob-plusplus/miniwob/html/miniwob/click-menu.html</x:v>
      </x:c>
      <x:c r="P58" s="20" t="str">
        <x:v>Click Menu Task</x:v>
      </x:c>
      <x:c r="Q58" s="20" t="str">
        <x:v>RootWebArea 'Click Menu Task', focused [17] menu '', clickable, orientation='vertical' image '' [19] menuitem 'Ethel' image '' [21] menuitem 'Edy', hasPopup='menu'</x:v>
      </x:c>
      <x:c r="R58" s="20" t="str">
        <x:v>file:///root/autodl-tmp/miniwob-plusplus/miniwob/html/miniwob/click-menu.html</x:v>
      </x:c>
      <x:c r="S58" s="20" t="str">
        <x:v>Click Menu Task</x:v>
      </x:c>
      <x:c r="T58" s="20" t="str">
        <x:v>RootWebArea 'Click Menu Task', focused [17] menu '', clickable, orientation='vertical' image '' [19] menuitem 'Ethel' image '' [21] menuitem 'Edy', hasPopup='menu' [23] menu '', orientation='vertical' image '' [25] menuitem 'Bertine', hasPopup='menu' image '' [37] menuitem 'Gus' image '' [39] menuitem 'Denise' image '' [41] menuitem 'Marsiella'</x:v>
      </x:c>
      <x:c r="U58" s="6" t="str">
        <x:v>0</x:v>
      </x:c>
      <x:c r="V58" s="6" t="str">
        <x:v>0</x:v>
      </x:c>
      <x:c r="W58" s="6" t="str">
        <x:v>0</x:v>
      </x:c>
      <x:c r="X58" s="6" t="str">
        <x:v>1</x:v>
      </x:c>
      <x:c r="Y58" s="6" t="str">
        <x:v>0</x:v>
      </x:c>
      <x:c r="Z58" s="6" t="str">
        <x:v>1</x:v>
      </x:c>
      <x:c r="AA58" s="6" t="str">
        <x:v>0.0</x:v>
      </x:c>
      <x:c r="AB58" s="20" t="str">
        <x:v>Codex证据复核v1：原始记录唯一匹配、环境实测、反事实配对ID完整、终止且非成功、奖励非正、队列标签与结果派生规则一致；非人工签字。</x:v>
      </x:c>
    </x:row>
    <x:row r="59" ht="46" customHeight="1">
      <x:c r="A59" s="6" t="str">
        <x:v>1</x:v>
      </x:c>
      <x:c r="B59" s="6" t="str">
        <x:v>c851f176ecdaf6b053c2</x:v>
      </x:c>
      <x:c r="C59" s="6" t="str">
        <x:v>evidence_approved</x:v>
      </x:c>
      <x:c r="D59" s="6" t="str">
        <x:v>codex-evidence-review-v1</x:v>
      </x:c>
      <x:c r="E59" s="22" t="n">
        <x:v>46244.40206471065</x:v>
      </x:c>
      <x:c r="F59" s="6" t="str">
        <x:v>20</x:v>
      </x:c>
      <x:c r="G59" s="20" t="str">
        <x:v>observed_counterfactual;severe_failure;terminal</x:v>
      </x:c>
      <x:c r="H59" s="20" t="str">
        <x:v>browsergym/miniwob.click-button</x:v>
      </x:c>
      <x:c r="I59" s="6" t="str">
        <x:v>browsergym/miniwob.click-button</x:v>
      </x:c>
      <x:c r="J59" s="6" t="str">
        <x:v>cf-click-button-seed1036-hard_wrong_target</x:v>
      </x:c>
      <x:c r="K59" s="6" t="str">
        <x:v>0</x:v>
      </x:c>
      <x:c r="L59" s="20" t="str">
        <x:v>Click on the "okay" button.</x:v>
      </x:c>
      <x:c r="M59" s="20" t="str">
        <x:v>click("16", "left")</x:v>
      </x:c>
      <x:c r="N59" s="6" t="str">
        <x:v>0.0</x:v>
      </x:c>
      <x:c r="O59" s="20" t="str">
        <x:v>file:///root/autodl-tmp/miniwob-plusplus/miniwob/html/miniwob/click-button.html</x:v>
      </x:c>
      <x:c r="P59" s="20" t="str">
        <x:v>Click Button Task</x:v>
      </x:c>
      <x:c r="Q59" s="20" t="str">
        <x:v>RootWebArea 'Click Button Task', focused StaticText 'morbi velit bibendum:' [13] textbox '', clickable StaticText 'sapien consequat lorem' [16] button 'ok', clickable [17] button 'Ok', clickable [18] button 'okay', clickable StaticText 'in a quis:' [20] textbox '', clickable</x:v>
      </x:c>
      <x:c r="R59" s="20" t="str">
        <x:v>file:///root/autodl-tmp/miniwob-plusplus/miniwob/html/miniwob/click-button.html</x:v>
      </x:c>
      <x:c r="S59" s="20" t="str">
        <x:v>Click Button Task</x:v>
      </x:c>
      <x:c r="T59" s="20" t="str">
        <x:v>RootWebArea 'Click Button Task', focused StaticText 'morbi velit bibendum:' [13] textbox '', clickable StaticText 'sapien consequat lorem' [16] button 'ok', clickable, focused [17] button 'Ok', clickable [18] button 'okay', clickable StaticText 'in a quis:' [20] textbox '', clickable</x:v>
      </x:c>
      <x:c r="U59" s="6" t="str">
        <x:v>0</x:v>
      </x:c>
      <x:c r="V59" s="6" t="str">
        <x:v>0</x:v>
      </x:c>
      <x:c r="W59" s="6" t="str">
        <x:v>0</x:v>
      </x:c>
      <x:c r="X59" s="6" t="str">
        <x:v>1</x:v>
      </x:c>
      <x:c r="Y59" s="6" t="str">
        <x:v>0</x:v>
      </x:c>
      <x:c r="Z59" s="6" t="str">
        <x:v>1</x:v>
      </x:c>
      <x:c r="AA59" s="6" t="str">
        <x:v>0.0</x:v>
      </x:c>
      <x:c r="AB59" s="20" t="str">
        <x:v>Codex证据复核v1：原始记录唯一匹配、环境实测、反事实配对ID完整、终止且非成功、奖励非正、队列标签与结果派生规则一致；非人工签字。</x:v>
      </x:c>
    </x:row>
    <x:row r="60" ht="46" customHeight="1">
      <x:c r="A60" s="6" t="str">
        <x:v>1</x:v>
      </x:c>
      <x:c r="B60" s="6" t="str">
        <x:v>359a77421c81abb42285</x:v>
      </x:c>
      <x:c r="C60" s="6" t="str">
        <x:v>evidence_approved</x:v>
      </x:c>
      <x:c r="D60" s="6" t="str">
        <x:v>codex-evidence-review-v1</x:v>
      </x:c>
      <x:c r="E60" s="22" t="n">
        <x:v>46244.40206471065</x:v>
      </x:c>
      <x:c r="F60" s="6" t="str">
        <x:v>20</x:v>
      </x:c>
      <x:c r="G60" s="20" t="str">
        <x:v>observed_counterfactual;severe_failure;terminal</x:v>
      </x:c>
      <x:c r="H60" s="20" t="str">
        <x:v>browsergym/miniwob.scroll-text-2</x:v>
      </x:c>
      <x:c r="I60" s="6" t="str">
        <x:v>browsergym/miniwob.scroll-text-2</x:v>
      </x:c>
      <x:c r="J60" s="6" t="str">
        <x:v>cf-scroll-text-2-seed1001-hard_wrong_target</x:v>
      </x:c>
      <x:c r="K60" s="6" t="str">
        <x:v>0</x:v>
      </x:c>
      <x:c r="L60" s="20" t="str">
        <x:v>Scroll the textarea to the bottom of the text hit submit.</x:v>
      </x:c>
      <x:c r="M60" s="20" t="str">
        <x:v>click("14", "left")</x:v>
      </x:c>
      <x:c r="N60" s="6" t="str">
        <x:v>0.0</x:v>
      </x:c>
      <x:c r="O60" s="20" t="str">
        <x:v>file:///root/autodl-tmp/miniwob-plusplus/miniwob/html/miniwob/scroll-text-2.html</x:v>
      </x:c>
      <x:c r="P60" s="20" t="str">
        <x:v>Scroll Text Task</x:v>
      </x:c>
      <x:c r="Q60" s="20" t="str">
        <x:v>RootWebArea 'Scroll Text Task', focused [13] textbox '' value='Fermentum lobortis duis laoreet urna diam at viverra. Sem. Nec, lacus id enim. Fusce. Turpis non, lacus convallis risus. Lectus magna mattis vitae platea. Diam arcu diam justo tellus sagittis, phasellus felis eget. Faucibus ac lacinia vitae enim ac, et. Adipiscing donec sit. Aliquam cursus arcu et sit vitae sit imperdiet et aliquet consectetur massa scelerisque ultricies. Elit lobortis ante elementum dolor, euismod malesuada amet et. Orci mauris amet diam malesuada nunc aliquam. Felis ac, aliquet ultricies eu a feugiat aliquam consectetur a accumsan vel pretium ipsum … StaticText 'Fermentum lobortis duis laoreet urna diam at viverra. Sem. Nec, lacus id enim. Fusce. Turpis non, lacus convallis risus. Lectus magna mattis vitae platea. Diam arcu diam justo tellus sagittis, phasellus felis eget. Faucibus ac lacinia vitae enim ac…</x:v>
      </x:c>
      <x:c r="R60" s="20" t="str">
        <x:v>file:///root/autodl-tmp/miniwob-plusplus/miniwob/html/miniwob/scroll-text-2.html</x:v>
      </x:c>
      <x:c r="S60" s="20" t="str">
        <x:v>Scroll Text Task</x:v>
      </x:c>
      <x:c r="T60" s="20" t="str">
        <x:v>RootWebArea 'Scroll Text Task', focused [13] textbox '' value='Fermentum lobortis duis laoreet urna diam at viverra. Sem. Nec, lacus id enim. Fusce. Turpis non, lacus convallis risus. Lectus magna mattis vitae platea. Diam arcu diam justo tellus sagittis, phasellus felis eget. Faucibus ac lacinia vitae enim ac, et. Adipiscing donec sit. Aliquam cursus arcu et sit vitae sit imperdiet et aliquet consectetur massa scelerisque ultricies. Elit lobortis ante elementum dolor, euismod malesuada amet et. Orci mauris amet diam malesuada nunc aliquam. Felis ac, aliquet ultricies eu a feugiat aliquam consectetur a accumsan vel pretium ipsum … StaticText 'Fermentum lobortis duis laoreet urna diam at viverra. Sem. Nec, lacus id enim. Fusce. Turpis non, lacus convallis risus. Lectus magna mattis vitae platea. Diam arcu diam justo tellus sagittis, phasellus felis eget. Faucibus ac lacinia vitae enim ac…</x:v>
      </x:c>
      <x:c r="U60" s="6" t="str">
        <x:v>0</x:v>
      </x:c>
      <x:c r="V60" s="6" t="str">
        <x:v>0</x:v>
      </x:c>
      <x:c r="W60" s="6" t="str">
        <x:v>0</x:v>
      </x:c>
      <x:c r="X60" s="6" t="str">
        <x:v>1</x:v>
      </x:c>
      <x:c r="Y60" s="6" t="str">
        <x:v>0</x:v>
      </x:c>
      <x:c r="Z60" s="6" t="str">
        <x:v>1</x:v>
      </x:c>
      <x:c r="AA60" s="6" t="str">
        <x:v>0.0</x:v>
      </x:c>
      <x:c r="AB60" s="20" t="str">
        <x:v>Codex证据复核v1：原始记录唯一匹配、环境实测、反事实配对ID完整、终止且非成功、奖励非正、队列标签与结果派生规则一致；非人工签字。</x:v>
      </x:c>
    </x:row>
    <x:row r="61" ht="46" customHeight="1">
      <x:c r="A61" s="6" t="str">
        <x:v>1</x:v>
      </x:c>
      <x:c r="B61" s="6" t="str">
        <x:v>aa124205ab13b9ffdb83</x:v>
      </x:c>
      <x:c r="C61" s="6" t="str">
        <x:v>evidence_approved</x:v>
      </x:c>
      <x:c r="D61" s="6" t="str">
        <x:v>codex-evidence-review-v1</x:v>
      </x:c>
      <x:c r="E61" s="22" t="n">
        <x:v>46244.40206471065</x:v>
      </x:c>
      <x:c r="F61" s="6" t="str">
        <x:v>20</x:v>
      </x:c>
      <x:c r="G61" s="20" t="str">
        <x:v>observed_counterfactual;severe_failure;terminal</x:v>
      </x:c>
      <x:c r="H61" s="20" t="str">
        <x:v>browsergym/miniwob.enter-text</x:v>
      </x:c>
      <x:c r="I61" s="6" t="str">
        <x:v>browsergym/miniwob.enter-text</x:v>
      </x:c>
      <x:c r="J61" s="6" t="str">
        <x:v>cf-enter-text-seed1032-hard_wrong_target</x:v>
      </x:c>
      <x:c r="K61" s="6" t="str">
        <x:v>0</x:v>
      </x:c>
      <x:c r="L61" s="20" t="str">
        <x:v>Enter "Tula" into the text field and press Submit.</x:v>
      </x:c>
      <x:c r="M61" s="20" t="str">
        <x:v>click("15", "left")</x:v>
      </x:c>
      <x:c r="N61" s="6" t="str">
        <x:v>0.0</x:v>
      </x:c>
      <x:c r="O61" s="20" t="str">
        <x:v>file:///root/autodl-tmp/miniwob-plusplus/miniwob/html/miniwob/enter-text.html</x:v>
      </x:c>
      <x:c r="P61" s="20" t="str">
        <x:v>Enter Text Task</x:v>
      </x:c>
      <x:c r="Q61" s="20" t="str">
        <x:v>RootWebArea 'Enter Text Task', focused [14] textbox '', clickable [15] button 'Submit', clickable</x:v>
      </x:c>
      <x:c r="R61" s="20" t="str">
        <x:v>file:///root/autodl-tmp/miniwob-plusplus/miniwob/html/miniwob/enter-text.html</x:v>
      </x:c>
      <x:c r="S61" s="20" t="str">
        <x:v>Enter Text Task</x:v>
      </x:c>
      <x:c r="T61" s="20" t="str">
        <x:v>RootWebArea 'Enter Text Task', focused [14] textbox '', clickable [15] button 'Submit', clickable, focused</x:v>
      </x:c>
      <x:c r="U61" s="6" t="str">
        <x:v>0</x:v>
      </x:c>
      <x:c r="V61" s="6" t="str">
        <x:v>0</x:v>
      </x:c>
      <x:c r="W61" s="6" t="str">
        <x:v>0</x:v>
      </x:c>
      <x:c r="X61" s="6" t="str">
        <x:v>1</x:v>
      </x:c>
      <x:c r="Y61" s="6" t="str">
        <x:v>0</x:v>
      </x:c>
      <x:c r="Z61" s="6" t="str">
        <x:v>1</x:v>
      </x:c>
      <x:c r="AA61" s="6" t="str">
        <x:v>0.0</x:v>
      </x:c>
      <x:c r="AB61" s="20" t="str">
        <x:v>Codex证据复核v1：原始记录唯一匹配、环境实测、反事实配对ID完整、终止且非成功、奖励非正、队列标签与结果派生规则一致；非人工签字。</x:v>
      </x:c>
    </x:row>
    <x:row r="62" ht="46" customHeight="1">
      <x:c r="A62" s="6" t="str">
        <x:v>1</x:v>
      </x:c>
      <x:c r="B62" s="6" t="str">
        <x:v>b159501ed0b84347cd9e</x:v>
      </x:c>
      <x:c r="C62" s="6" t="str">
        <x:v>evidence_approved</x:v>
      </x:c>
      <x:c r="D62" s="6" t="str">
        <x:v>codex-evidence-review-v1</x:v>
      </x:c>
      <x:c r="E62" s="22" t="n">
        <x:v>46244.40206471065</x:v>
      </x:c>
      <x:c r="F62" s="6" t="str">
        <x:v>20</x:v>
      </x:c>
      <x:c r="G62" s="20" t="str">
        <x:v>observed_counterfactual;severe_failure;terminal</x:v>
      </x:c>
      <x:c r="H62" s="20" t="str">
        <x:v>browsergym/miniwob.scroll-text</x:v>
      </x:c>
      <x:c r="I62" s="6" t="str">
        <x:v>browsergym/miniwob.scroll-text</x:v>
      </x:c>
      <x:c r="J62" s="6" t="str">
        <x:v>cf-scroll-text-seed1008-hard_wrong_target</x:v>
      </x:c>
      <x:c r="K62" s="6" t="str">
        <x:v>0</x:v>
      </x:c>
      <x:c r="L62" s="20" t="str">
        <x:v>Find the last word in the text area, enter it into the text field and hit Submit.</x:v>
      </x:c>
      <x:c r="M62" s="20" t="str">
        <x:v>click("15", "left")</x:v>
      </x:c>
      <x:c r="N62" s="6" t="str">
        <x:v>0.0</x:v>
      </x:c>
      <x:c r="O62" s="20" t="str">
        <x:v>file:///root/autodl-tmp/miniwob-plusplus/miniwob/html/miniwob/scroll-text.html</x:v>
      </x:c>
      <x:c r="P62" s="20" t="str">
        <x:v>Scroll Text Task</x:v>
      </x:c>
      <x:c r="Q62" s="20" t="str">
        <x:v>RootWebArea 'Scroll Text Task', focused [13] textbox '' value='Eu non id amet,. Ipsum lectus. Feugiat ullamcorper quis elementum nunc massa integer et. Quis sagittis adipiscing tellus urna in risus nunc non enim. Quam ultrices suscipit ultrices suspendisse varius. Nulla donec nibh posuere faucibus aliquet senectus purus. Molestie nunc. Aliquam scelerisque. Et nisi, diam nisi ipsum auctor duis. Suscipit maecenas aliquam. Turpis tincidunt pellentesque ac, sed etiam pharetra dui et faucibus magna eget pellentesque lorem. Pharetra ultricies. Nunc non diam dolor eget. Sed urna sed faucibus nunc. Rhoncus consequat quam. Ut aliquam ac a… StaticText 'Eu non id amet,. Ipsum lectus. Feugiat ullamcorper quis elementum nunc massa integer et. Quis sagittis adipiscing tellus urna in risus nunc non enim. Quam ultrices suscipit ultrices suspendisse varius. Nulla donec nibh posuere faucibus aliquet sene…</x:v>
      </x:c>
      <x:c r="R62" s="20" t="str">
        <x:v>file:///root/autodl-tmp/miniwob-plusplus/miniwob/html/miniwob/scroll-text.html</x:v>
      </x:c>
      <x:c r="S62" s="20" t="str">
        <x:v>Scroll Text Task</x:v>
      </x:c>
      <x:c r="T62" s="20" t="str">
        <x:v>RootWebArea 'Scroll Text Task', focused [13] textbox '' value='Eu non id amet,. Ipsum lectus. Feugiat ullamcorper quis elementum nunc massa integer et. Quis sagittis adipiscing tellus urna in risus nunc non enim. Quam ultrices suscipit ultrices suspendisse varius. Nulla donec nibh posuere faucibus aliquet senectus purus. Molestie nunc. Aliquam scelerisque. Et nisi, diam nisi ipsum auctor duis. Suscipit maecenas aliquam. Turpis tincidunt pellentesque ac, sed etiam pharetra dui et faucibus magna eget pellentesque lorem. Pharetra ultricies. Nunc non diam dolor eget. Sed urna sed faucibus nunc. Rhoncus consequat quam. Ut aliquam ac a… StaticText 'Eu non id amet,. Ipsum lectus. Feugiat ullamcorper quis elementum nunc massa integer et. Quis sagittis adipiscing tellus urna in risus nunc non enim. Quam ultrices suscipit ultrices suspendisse varius. Nulla donec nibh posuere faucibus aliquet sene…</x:v>
      </x:c>
      <x:c r="U62" s="6" t="str">
        <x:v>0</x:v>
      </x:c>
      <x:c r="V62" s="6" t="str">
        <x:v>0</x:v>
      </x:c>
      <x:c r="W62" s="6" t="str">
        <x:v>0</x:v>
      </x:c>
      <x:c r="X62" s="6" t="str">
        <x:v>1</x:v>
      </x:c>
      <x:c r="Y62" s="6" t="str">
        <x:v>0</x:v>
      </x:c>
      <x:c r="Z62" s="6" t="str">
        <x:v>1</x:v>
      </x:c>
      <x:c r="AA62" s="6" t="str">
        <x:v>0.0</x:v>
      </x:c>
      <x:c r="AB62" s="20" t="str">
        <x:v>Codex证据复核v1：原始记录唯一匹配、环境实测、反事实配对ID完整、终止且非成功、奖励非正、队列标签与结果派生规则一致；非人工签字。</x:v>
      </x:c>
    </x:row>
    <x:row r="63" ht="46" customHeight="1">
      <x:c r="A63" s="6" t="str">
        <x:v>1</x:v>
      </x:c>
      <x:c r="B63" s="6" t="str">
        <x:v>440544b075687e929edb</x:v>
      </x:c>
      <x:c r="C63" s="6" t="str">
        <x:v>evidence_approved</x:v>
      </x:c>
      <x:c r="D63" s="6" t="str">
        <x:v>codex-evidence-review-v1</x:v>
      </x:c>
      <x:c r="E63" s="22" t="n">
        <x:v>46244.40206471065</x:v>
      </x:c>
      <x:c r="F63" s="6" t="str">
        <x:v>20</x:v>
      </x:c>
      <x:c r="G63" s="20" t="str">
        <x:v>observed_counterfactual;severe_failure;terminal</x:v>
      </x:c>
      <x:c r="H63" s="20" t="str">
        <x:v>browsergym/miniwob.enter-text-dynamic</x:v>
      </x:c>
      <x:c r="I63" s="6" t="str">
        <x:v>browsergym/miniwob.enter-text-dynamic</x:v>
      </x:c>
      <x:c r="J63" s="6" t="str">
        <x:v>cf-enter-text-dynamic-seed1027-hard_wrong_target</x:v>
      </x:c>
      <x:c r="K63" s="6" t="str">
        <x:v>0</x:v>
      </x:c>
      <x:c r="L63" s="20" t="str">
        <x:v>Enter "n7" into the text field and press Submit.</x:v>
      </x:c>
      <x:c r="M63" s="20" t="str">
        <x:v>click("15", "left")</x:v>
      </x:c>
      <x:c r="N63" s="6" t="str">
        <x:v>0.0</x:v>
      </x:c>
      <x:c r="O63" s="20" t="str">
        <x:v>file:///root/autodl-tmp/miniwob-plusplus/miniwob/html/miniwob/enter-text-dynamic.html</x:v>
      </x:c>
      <x:c r="P63" s="20" t="str">
        <x:v>Enter Dynamic Text Task</x:v>
      </x:c>
      <x:c r="Q63" s="20" t="str">
        <x:v>RootWebArea 'Enter Dynamic Text Task', focused [14] textbox '', clickable [15] button 'Submit', clickable</x:v>
      </x:c>
      <x:c r="R63" s="20" t="str">
        <x:v>file:///root/autodl-tmp/miniwob-plusplus/miniwob/html/miniwob/enter-text-dynamic.html</x:v>
      </x:c>
      <x:c r="S63" s="20" t="str">
        <x:v>Enter Dynamic Text Task</x:v>
      </x:c>
      <x:c r="T63" s="20" t="str">
        <x:v>RootWebArea 'Enter Dynamic Text Task', focused [14] textbox '', clickable [15] button 'Submit', clickable, focused</x:v>
      </x:c>
      <x:c r="U63" s="6" t="str">
        <x:v>0</x:v>
      </x:c>
      <x:c r="V63" s="6" t="str">
        <x:v>0</x:v>
      </x:c>
      <x:c r="W63" s="6" t="str">
        <x:v>0</x:v>
      </x:c>
      <x:c r="X63" s="6" t="str">
        <x:v>1</x:v>
      </x:c>
      <x:c r="Y63" s="6" t="str">
        <x:v>0</x:v>
      </x:c>
      <x:c r="Z63" s="6" t="str">
        <x:v>1</x:v>
      </x:c>
      <x:c r="AA63" s="6" t="str">
        <x:v>0.0</x:v>
      </x:c>
      <x:c r="AB63" s="20" t="str">
        <x:v>Codex证据复核v1：原始记录唯一匹配、环境实测、反事实配对ID完整、终止且非成功、奖励非正、队列标签与结果派生规则一致；非人工签字。</x:v>
      </x:c>
    </x:row>
    <x:row r="64" ht="46" customHeight="1">
      <x:c r="A64" s="6" t="str">
        <x:v>1</x:v>
      </x:c>
      <x:c r="B64" s="6" t="str">
        <x:v>41d5b3e236504feb181a</x:v>
      </x:c>
      <x:c r="C64" s="6" t="str">
        <x:v>evidence_approved</x:v>
      </x:c>
      <x:c r="D64" s="6" t="str">
        <x:v>codex-evidence-review-v1</x:v>
      </x:c>
      <x:c r="E64" s="22" t="n">
        <x:v>46244.40206471065</x:v>
      </x:c>
      <x:c r="F64" s="6" t="str">
        <x:v>20</x:v>
      </x:c>
      <x:c r="G64" s="20" t="str">
        <x:v>observed_counterfactual;severe_failure;terminal</x:v>
      </x:c>
      <x:c r="H64" s="20" t="str">
        <x:v>browsergym/miniwob.sign-agreement</x:v>
      </x:c>
      <x:c r="I64" s="6" t="str">
        <x:v>browsergym/miniwob.sign-agreement</x:v>
      </x:c>
      <x:c r="J64" s="6" t="str">
        <x:v>cf-sign-agreement-seed1018-hard_wrong_target</x:v>
      </x:c>
      <x:c r="K64" s="6" t="str">
        <x:v>0</x:v>
      </x:c>
      <x:c r="L64" s="20" t="str">
        <x:v>Scroll to the bottom of the textarea, enter the name "Bernardine" then press "Agree"</x:v>
      </x:c>
      <x:c r="M64" s="20" t="str">
        <x:v>click("17", "left")</x:v>
      </x:c>
      <x:c r="N64" s="6" t="str">
        <x:v>0.0</x:v>
      </x:c>
      <x:c r="O64" s="20" t="str">
        <x:v>file:///root/autodl-tmp/miniwob-plusplus/miniwob/html/miniwob/sign-agreement.html</x:v>
      </x:c>
      <x:c r="P64" s="20" t="str">
        <x:v>Sign Agreement Task</x:v>
      </x:c>
      <x:c r="Q64" s="20" t="str">
        <x:v>RootWebArea 'Sign Agreement Task', focused [14] heading 'User agreement' [15] textbox '' value='Non. Nunc nibh aliquet. Elit porta magna et eget sed. Et. Vitae orci. Odio neque dignissim mauris pharetra odio ultrices proin tellus. A,. Diam ut tempus nisi sed. Quis ut vel scelerisque vivamus. Non aenean aenean sem. In purus. Maecenas laoreet pharetra, quam nulla integer id habitant. Volutpat turpis id euismod. Feugiat enim velit, nisl. Auctor mauris turpis turpis lorem nam vel sit scelerisque cursus imperdiet. Risus turpis. Nibh lorem egestas nec nec. Leo pharetra. Eu, lectus cursus rutrum eleifend mauris mi enim velit,. Mattis ultrices elit. Risus convallis et. … StaticText 'Non. Nunc nibh aliquet. Elit porta magna et eget sed. Et. Vitae orci. Odio neque dignissim mauris pharetra odio ultrices proin tellus. A,. Diam ut tempus nisi sed. Quis ut vel scelerisque vivamus. Non aenean aenean …</x:v>
      </x:c>
      <x:c r="R64" s="20" t="str">
        <x:v>file:///root/autodl-tmp/miniwob-plusplus/miniwob/html/miniwob/sign-agreement.html</x:v>
      </x:c>
      <x:c r="S64" s="20" t="str">
        <x:v>Sign Agreement Task</x:v>
      </x:c>
      <x:c r="T64" s="20" t="str">
        <x:v>RootWebArea 'Sign Agreement Task', focused [14] heading 'User agreement' [15] textbox '' value='Non. Nunc nibh aliquet. Elit porta magna et eget sed. Et. Vitae orci. Odio neque dignissim mauris pharetra odio ultrices proin tellus. A,. Diam ut tempus nisi sed. Quis ut vel scelerisque vivamus. Non aenean aenean sem. In purus. Maecenas laoreet pharetra, quam nulla integer id habitant. Volutpat turpis id euismod. Feugiat enim velit, nisl. Auctor mauris turpis turpis lorem nam vel sit scelerisque cursus imperdiet. Risus turpis. Nibh lorem egestas nec nec. Leo pharetra. Eu, lectus cursus rutrum eleifend mauris mi enim velit,. Mattis ultrices elit. Risus convallis et. … StaticText 'Non. Nunc nibh aliquet. Elit porta magna et eget sed. Et. Vitae orci. Odio neque dignissim mauris pharetra odio ultrices proin tellus. A,. Diam ut tempus nisi sed. Quis ut vel scelerisque vivamus. Non aenean aenean …</x:v>
      </x:c>
      <x:c r="U64" s="6" t="str">
        <x:v>0</x:v>
      </x:c>
      <x:c r="V64" s="6" t="str">
        <x:v>0</x:v>
      </x:c>
      <x:c r="W64" s="6" t="str">
        <x:v>0</x:v>
      </x:c>
      <x:c r="X64" s="6" t="str">
        <x:v>1</x:v>
      </x:c>
      <x:c r="Y64" s="6" t="str">
        <x:v>0</x:v>
      </x:c>
      <x:c r="Z64" s="6" t="str">
        <x:v>1</x:v>
      </x:c>
      <x:c r="AA64" s="6" t="str">
        <x:v>0.0</x:v>
      </x:c>
      <x:c r="AB64" s="20" t="str">
        <x:v>Codex证据复核v1：原始记录唯一匹配、环境实测、反事实配对ID完整、终止且非成功、奖励非正、队列标签与结果派生规则一致；非人工签字。</x:v>
      </x:c>
    </x:row>
    <x:row r="65" ht="46" customHeight="1">
      <x:c r="A65" s="6" t="str">
        <x:v>1</x:v>
      </x:c>
      <x:c r="B65" s="6" t="str">
        <x:v>47c8f618be10ff7a770c</x:v>
      </x:c>
      <x:c r="C65" s="6" t="str">
        <x:v>evidence_approved</x:v>
      </x:c>
      <x:c r="D65" s="6" t="str">
        <x:v>codex-evidence-review-v1</x:v>
      </x:c>
      <x:c r="E65" s="22" t="n">
        <x:v>46244.40206471065</x:v>
      </x:c>
      <x:c r="F65" s="6" t="str">
        <x:v>20</x:v>
      </x:c>
      <x:c r="G65" s="20" t="str">
        <x:v>observed_counterfactual;severe_failure;terminal</x:v>
      </x:c>
      <x:c r="H65" s="20" t="str">
        <x:v>browsergym/miniwob.enter-text-dynamic</x:v>
      </x:c>
      <x:c r="I65" s="6" t="str">
        <x:v>browsergym/miniwob.enter-text-dynamic</x:v>
      </x:c>
      <x:c r="J65" s="6" t="str">
        <x:v>cf-enter-text-dynamic-seed1031-hard_wrong_target</x:v>
      </x:c>
      <x:c r="K65" s="6" t="str">
        <x:v>0</x:v>
      </x:c>
      <x:c r="L65" s="20" t="str">
        <x:v>Enter "Y" into the text field and press Submit.</x:v>
      </x:c>
      <x:c r="M65" s="20" t="str">
        <x:v>click("15", "left")</x:v>
      </x:c>
      <x:c r="N65" s="6" t="str">
        <x:v>0.0</x:v>
      </x:c>
      <x:c r="O65" s="20" t="str">
        <x:v>file:///root/autodl-tmp/miniwob-plusplus/miniwob/html/miniwob/enter-text-dynamic.html</x:v>
      </x:c>
      <x:c r="P65" s="20" t="str">
        <x:v>Enter Dynamic Text Task</x:v>
      </x:c>
      <x:c r="Q65" s="20" t="str">
        <x:v>RootWebArea 'Enter Dynamic Text Task', focused [14] textbox '', clickable [15] button 'Submit', clickable</x:v>
      </x:c>
      <x:c r="R65" s="20" t="str">
        <x:v>file:///root/autodl-tmp/miniwob-plusplus/miniwob/html/miniwob/enter-text-dynamic.html</x:v>
      </x:c>
      <x:c r="S65" s="20" t="str">
        <x:v>Enter Dynamic Text Task</x:v>
      </x:c>
      <x:c r="T65" s="20" t="str">
        <x:v>RootWebArea 'Enter Dynamic Text Task', focused [14] textbox '', clickable [15] button 'Submit', clickable, focused</x:v>
      </x:c>
      <x:c r="U65" s="6" t="str">
        <x:v>0</x:v>
      </x:c>
      <x:c r="V65" s="6" t="str">
        <x:v>0</x:v>
      </x:c>
      <x:c r="W65" s="6" t="str">
        <x:v>0</x:v>
      </x:c>
      <x:c r="X65" s="6" t="str">
        <x:v>1</x:v>
      </x:c>
      <x:c r="Y65" s="6" t="str">
        <x:v>0</x:v>
      </x:c>
      <x:c r="Z65" s="6" t="str">
        <x:v>1</x:v>
      </x:c>
      <x:c r="AA65" s="6" t="str">
        <x:v>0.0</x:v>
      </x:c>
      <x:c r="AB65" s="20" t="str">
        <x:v>Codex证据复核v1：原始记录唯一匹配、环境实测、反事实配对ID完整、终止且非成功、奖励非正、队列标签与结果派生规则一致；非人工签字。</x:v>
      </x:c>
    </x:row>
    <x:row r="66" ht="46" customHeight="1">
      <x:c r="A66" s="6" t="str">
        <x:v>1</x:v>
      </x:c>
      <x:c r="B66" s="6" t="str">
        <x:v>5eb7311d5fc88ee9eaf8</x:v>
      </x:c>
      <x:c r="C66" s="6" t="str">
        <x:v>evidence_approved</x:v>
      </x:c>
      <x:c r="D66" s="6" t="str">
        <x:v>codex-evidence-review-v1</x:v>
      </x:c>
      <x:c r="E66" s="22" t="n">
        <x:v>46244.40206471065</x:v>
      </x:c>
      <x:c r="F66" s="6" t="str">
        <x:v>20</x:v>
      </x:c>
      <x:c r="G66" s="20" t="str">
        <x:v>observed_counterfactual;severe_failure;terminal</x:v>
      </x:c>
      <x:c r="H66" s="20" t="str">
        <x:v>browsergym/miniwob.click-tab</x:v>
      </x:c>
      <x:c r="I66" s="6" t="str">
        <x:v>browsergym/miniwob.click-tab</x:v>
      </x:c>
      <x:c r="J66" s="6" t="str">
        <x:v>cf-click-tab-seed1009-hard_wrong_target</x:v>
      </x:c>
      <x:c r="K66" s="6" t="str">
        <x:v>0</x:v>
      </x:c>
      <x:c r="L66" s="20" t="str">
        <x:v>Click on Tab #3.</x:v>
      </x:c>
      <x:c r="M66" s="20" t="str">
        <x:v>click("21", "left")</x:v>
      </x:c>
      <x:c r="N66" s="6" t="str">
        <x:v>0.0</x:v>
      </x:c>
      <x:c r="O66" s="20" t="str">
        <x:v>file:///root/autodl-tmp/miniwob-plusplus/miniwob/html/miniwob/click-tab.html</x:v>
      </x:c>
      <x:c r="P66" s="20" t="str">
        <x:v>Click Tab Task</x:v>
      </x:c>
      <x:c r="Q66"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'Urna. Sed. Sit pellentesque duis. Sagittis, pulvinar vivamus ac diam amet malesuada neque varius eget vulputate tellus, id metus,. Venenatis.'</x:v>
      </x:c>
      <x:c r="R66" s="20" t="str">
        <x:v>file:///root/autodl-tmp/miniwob-plusplus/miniwob/html/miniwob/click-tab.html</x:v>
      </x:c>
      <x:c r="S66" s="20" t="str">
        <x:v>Click Tab Task</x:v>
      </x:c>
      <x:c r="T66"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'Vitae id. Dolor,. Neque, ut ipsum cursus tempus proin commodo ipsum. Diam dictum bibendum. Massa sociis sit eu elit. A.'</x:v>
      </x:c>
      <x:c r="U66" s="6" t="str">
        <x:v>0</x:v>
      </x:c>
      <x:c r="V66" s="6" t="str">
        <x:v>0</x:v>
      </x:c>
      <x:c r="W66" s="6" t="str">
        <x:v>0</x:v>
      </x:c>
      <x:c r="X66" s="6" t="str">
        <x:v>1</x:v>
      </x:c>
      <x:c r="Y66" s="6" t="str">
        <x:v>0</x:v>
      </x:c>
      <x:c r="Z66" s="6" t="str">
        <x:v>1</x:v>
      </x:c>
      <x:c r="AA66" s="6" t="str">
        <x:v>0.0</x:v>
      </x:c>
      <x:c r="AB66" s="20" t="str">
        <x:v>Codex证据复核v1：原始记录唯一匹配、环境实测、反事实配对ID完整、终止且非成功、奖励非正、队列标签与结果派生规则一致；非人工签字。</x:v>
      </x:c>
    </x:row>
    <x:row r="67" ht="46" customHeight="1">
      <x:c r="A67" s="6" t="str">
        <x:v>1</x:v>
      </x:c>
      <x:c r="B67" s="6" t="str">
        <x:v>fef29fcaa3457306198e</x:v>
      </x:c>
      <x:c r="C67" s="6" t="str">
        <x:v>evidence_approved</x:v>
      </x:c>
      <x:c r="D67" s="6" t="str">
        <x:v>codex-evidence-review-v1</x:v>
      </x:c>
      <x:c r="E67" s="22" t="n">
        <x:v>46244.40206471065</x:v>
      </x:c>
      <x:c r="F67" s="6" t="str">
        <x:v>20</x:v>
      </x:c>
      <x:c r="G67" s="20" t="str">
        <x:v>observed_counterfactual;severe_failure;terminal</x:v>
      </x:c>
      <x:c r="H67" s="20" t="str">
        <x:v>browsergym/miniwob.choose-list</x:v>
      </x:c>
      <x:c r="I67" s="6" t="str">
        <x:v>browsergym/miniwob.choose-list</x:v>
      </x:c>
      <x:c r="J67" s="6" t="str">
        <x:v>cf-choose-list-seed1013-wrong_action_type</x:v>
      </x:c>
      <x:c r="K67" s="6" t="str">
        <x:v>0</x:v>
      </x:c>
      <x:c r="L67" s="20" t="str">
        <x:v>Select Luxembourg from the list and click Submit.</x:v>
      </x:c>
      <x:c r="M67" s="20" t="str">
        <x:v>click("19", "left")</x:v>
      </x:c>
      <x:c r="N67" s="6" t="str">
        <x:v>0.0</x:v>
      </x:c>
      <x:c r="O67" s="20" t="str">
        <x:v>file:///root/autodl-tmp/miniwob-plusplus/miniwob/html/miniwob/choose-list.html</x:v>
      </x:c>
      <x:c r="P67" s="20" t="str">
        <x:v>Choose List Task</x:v>
      </x:c>
      <x:c r="Q67" s="20" t="str">
        <x:v>RootWebArea 'Choose List Task', focused [13] combobox '' value='Libya', hasPopup='menu', expanded=False [19] button 'Submit', clickable</x:v>
      </x:c>
      <x:c r="R67" s="20" t="str">
        <x:v>file:///root/autodl-tmp/miniwob-plusplus/miniwob/html/miniwob/choose-list.html</x:v>
      </x:c>
      <x:c r="S67" s="20" t="str">
        <x:v>Choose List Task</x:v>
      </x:c>
      <x:c r="T67" s="20" t="str">
        <x:v>RootWebArea 'Choose List Task', focused [13] combobox '' value='Libya', hasPopup='menu', expanded=False [19] button 'Submit', clickable, focused</x:v>
      </x:c>
      <x:c r="U67" s="6" t="str">
        <x:v>0</x:v>
      </x:c>
      <x:c r="V67" s="6" t="str">
        <x:v>0</x:v>
      </x:c>
      <x:c r="W67" s="6" t="str">
        <x:v>0</x:v>
      </x:c>
      <x:c r="X67" s="6" t="str">
        <x:v>1</x:v>
      </x:c>
      <x:c r="Y67" s="6" t="str">
        <x:v>0</x:v>
      </x:c>
      <x:c r="Z67" s="6" t="str">
        <x:v>1</x:v>
      </x:c>
      <x:c r="AA67" s="6" t="str">
        <x:v>0.0</x:v>
      </x:c>
      <x:c r="AB67" s="20" t="str">
        <x:v>Codex证据复核v1：原始记录唯一匹配、环境实测、反事实配对ID完整、终止且非成功、奖励非正、队列标签与结果派生规则一致；非人工签字。</x:v>
      </x:c>
    </x:row>
    <x:row r="68" ht="46" customHeight="1">
      <x:c r="A68" s="6" t="str">
        <x:v>1</x:v>
      </x:c>
      <x:c r="B68" s="6" t="str">
        <x:v>c1637ab1dc7c038baaab</x:v>
      </x:c>
      <x:c r="C68" s="6" t="str">
        <x:v>evidence_approved</x:v>
      </x:c>
      <x:c r="D68" s="6" t="str">
        <x:v>codex-evidence-review-v1</x:v>
      </x:c>
      <x:c r="E68" s="22" t="n">
        <x:v>46244.40206471065</x:v>
      </x:c>
      <x:c r="F68" s="6" t="str">
        <x:v>20</x:v>
      </x:c>
      <x:c r="G68" s="20" t="str">
        <x:v>observed_counterfactual;severe_failure;terminal</x:v>
      </x:c>
      <x:c r="H68" s="20" t="str">
        <x:v>browsergym/miniwob.click-menu</x:v>
      </x:c>
      <x:c r="I68" s="6" t="str">
        <x:v>browsergym/miniwob.click-menu</x:v>
      </x:c>
      <x:c r="J68" s="6" t="str">
        <x:v>cf-click-menu-seed1008-missing_target</x:v>
      </x:c>
      <x:c r="K68" s="6" t="str">
        <x:v>0</x:v>
      </x:c>
      <x:c r="L68" s="20" t="str">
        <x:v>Select Jori&gt;Melony&gt;Aubrey</x:v>
      </x:c>
      <x:c r="M68" s="20" t="str">
        <x:v>click("19", "left")</x:v>
      </x:c>
      <x:c r="N68" s="6" t="str">
        <x:v>0.0</x:v>
      </x:c>
      <x:c r="O68" s="20" t="str">
        <x:v>file:///root/autodl-tmp/miniwob-plusplus/miniwob/html/miniwob/click-menu.html</x:v>
      </x:c>
      <x:c r="P68" s="20" t="str">
        <x:v>Click Menu Task</x:v>
      </x:c>
      <x:c r="Q68" s="20" t="str">
        <x:v>RootWebArea 'Click Menu Task', focused [17] menu '', clickable, orientation='vertical' image '' [19] menuitem 'Jori', hasPopup='menu' image '' [49] menuitem 'Ardisj' image '' [51] menuitem 'Sosanna' image '' [53] menuitem 'Priscella', hasPopup='menu'</x:v>
      </x:c>
      <x:c r="R68" s="20" t="str">
        <x:v>file:///root/autodl-tmp/miniwob-plusplus/miniwob/html/miniwob/click-menu.html</x:v>
      </x:c>
      <x:c r="S68" s="20" t="str">
        <x:v>Click Menu Task</x:v>
      </x:c>
      <x:c r="T68" s="20" t="str">
        <x:v>RootWebArea 'Click Menu Task', focused [17] menu '', clickable, orientation='vertical' image '' [19] menuitem 'Jori', hasPopup='menu' [21] menu '', orientation='vertical' image '' [23] menuitem 'Donnamarie' image '' [25] menuitem 'Melony', hasPopup='menu' image '' [35] menuitem 'Carie', hasPopup='menu' image '' [47] menuitem 'Dallas' image '' [49] menuitem 'Ardisj' image '' [51] menuitem 'Sosanna' image '' [53] menuitem 'Priscella', hasPopup='menu'</x:v>
      </x:c>
      <x:c r="U68" s="6" t="str">
        <x:v>0</x:v>
      </x:c>
      <x:c r="V68" s="6" t="str">
        <x:v>0</x:v>
      </x:c>
      <x:c r="W68" s="6" t="str">
        <x:v>0</x:v>
      </x:c>
      <x:c r="X68" s="6" t="str">
        <x:v>1</x:v>
      </x:c>
      <x:c r="Y68" s="6" t="str">
        <x:v>0</x:v>
      </x:c>
      <x:c r="Z68" s="6" t="str">
        <x:v>1</x:v>
      </x:c>
      <x:c r="AA68" s="6" t="str">
        <x:v>0.0</x:v>
      </x:c>
      <x:c r="AB68" s="20" t="str">
        <x:v>Codex证据复核v1：原始记录唯一匹配、环境实测、反事实配对ID完整、终止且非成功、奖励非正、队列标签与结果派生规则一致；非人工签字。</x:v>
      </x:c>
    </x:row>
    <x:row r="69" ht="46" customHeight="1">
      <x:c r="A69" s="6" t="str">
        <x:v>1</x:v>
      </x:c>
      <x:c r="B69" s="6" t="str">
        <x:v>f7c5c3d42b076d9169bc</x:v>
      </x:c>
      <x:c r="C69" s="6" t="str">
        <x:v>evidence_approved</x:v>
      </x:c>
      <x:c r="D69" s="6" t="str">
        <x:v>codex-evidence-review-v1</x:v>
      </x:c>
      <x:c r="E69" s="22" t="n">
        <x:v>46244.40206471065</x:v>
      </x:c>
      <x:c r="F69" s="6" t="str">
        <x:v>20</x:v>
      </x:c>
      <x:c r="G69" s="20" t="str">
        <x:v>observed_counterfactual;severe_failure;terminal</x:v>
      </x:c>
      <x:c r="H69" s="20" t="str">
        <x:v>browsergym/miniwob.enter-text-dynamic</x:v>
      </x:c>
      <x:c r="I69" s="6" t="str">
        <x:v>browsergym/miniwob.enter-text-dynamic</x:v>
      </x:c>
      <x:c r="J69" s="6" t="str">
        <x:v>cf-enter-text-dynamic-seed1039-hard_wrong_target</x:v>
      </x:c>
      <x:c r="K69" s="6" t="str">
        <x:v>0</x:v>
      </x:c>
      <x:c r="L69" s="20" t="str">
        <x:v>Enter "g6" into the text field and press Submit.</x:v>
      </x:c>
      <x:c r="M69" s="20" t="str">
        <x:v>click("15", "left")</x:v>
      </x:c>
      <x:c r="N69" s="6" t="str">
        <x:v>0.0</x:v>
      </x:c>
      <x:c r="O69" s="20" t="str">
        <x:v>file:///root/autodl-tmp/miniwob-plusplus/miniwob/html/miniwob/enter-text-dynamic.html</x:v>
      </x:c>
      <x:c r="P69" s="20" t="str">
        <x:v>Enter Dynamic Text Task</x:v>
      </x:c>
      <x:c r="Q69" s="20" t="str">
        <x:v>RootWebArea 'Enter Dynamic Text Task', focused [14] textbox '', clickable [15] button 'Submit', clickable</x:v>
      </x:c>
      <x:c r="R69" s="20" t="str">
        <x:v>file:///root/autodl-tmp/miniwob-plusplus/miniwob/html/miniwob/enter-text-dynamic.html</x:v>
      </x:c>
      <x:c r="S69" s="20" t="str">
        <x:v>Enter Dynamic Text Task</x:v>
      </x:c>
      <x:c r="T69" s="20" t="str">
        <x:v>RootWebArea 'Enter Dynamic Text Task', focused [14] textbox '', clickable [15] button 'Submit', clickable, focused</x:v>
      </x:c>
      <x:c r="U69" s="6" t="str">
        <x:v>0</x:v>
      </x:c>
      <x:c r="V69" s="6" t="str">
        <x:v>0</x:v>
      </x:c>
      <x:c r="W69" s="6" t="str">
        <x:v>0</x:v>
      </x:c>
      <x:c r="X69" s="6" t="str">
        <x:v>1</x:v>
      </x:c>
      <x:c r="Y69" s="6" t="str">
        <x:v>0</x:v>
      </x:c>
      <x:c r="Z69" s="6" t="str">
        <x:v>1</x:v>
      </x:c>
      <x:c r="AA69" s="6" t="str">
        <x:v>0.0</x:v>
      </x:c>
      <x:c r="AB69" s="20" t="str">
        <x:v>Codex证据复核v1：原始记录唯一匹配、环境实测、反事实配对ID完整、终止且非成功、奖励非正、队列标签与结果派生规则一致；非人工签字。</x:v>
      </x:c>
    </x:row>
    <x:row r="70" ht="46" customHeight="1">
      <x:c r="A70" s="6" t="str">
        <x:v>1</x:v>
      </x:c>
      <x:c r="B70" s="6" t="str">
        <x:v>49ebf53c2459e4429425</x:v>
      </x:c>
      <x:c r="C70" s="6" t="str">
        <x:v>evidence_approved</x:v>
      </x:c>
      <x:c r="D70" s="6" t="str">
        <x:v>codex-evidence-review-v1</x:v>
      </x:c>
      <x:c r="E70" s="22" t="n">
        <x:v>46244.40206471065</x:v>
      </x:c>
      <x:c r="F70" s="6" t="str">
        <x:v>20</x:v>
      </x:c>
      <x:c r="G70" s="20" t="str">
        <x:v>observed_counterfactual;severe_failure;terminal</x:v>
      </x:c>
      <x:c r="H70" s="20" t="str">
        <x:v>browsergym/miniwob.choose-list</x:v>
      </x:c>
      <x:c r="I70" s="6" t="str">
        <x:v>browsergym/miniwob.choose-list</x:v>
      </x:c>
      <x:c r="J70" s="6" t="str">
        <x:v>cf-choose-list-seed1009-wrong_action_type</x:v>
      </x:c>
      <x:c r="K70" s="6" t="str">
        <x:v>0</x:v>
      </x:c>
      <x:c r="L70" s="20" t="str">
        <x:v>Select Edna from the list and click Submit.</x:v>
      </x:c>
      <x:c r="M70" s="20" t="str">
        <x:v>click("21", "left")</x:v>
      </x:c>
      <x:c r="N70" s="6" t="str">
        <x:v>0.0</x:v>
      </x:c>
      <x:c r="O70" s="20" t="str">
        <x:v>file:///root/autodl-tmp/miniwob-plusplus/miniwob/html/miniwob/choose-list.html</x:v>
      </x:c>
      <x:c r="P70" s="20" t="str">
        <x:v>Choose List Task</x:v>
      </x:c>
      <x:c r="Q70" s="20" t="str">
        <x:v>RootWebArea 'Choose List Task', focused [13] combobox '' value='Sharlene', hasPopup='menu', expanded=False [21] button 'Submit', clickable</x:v>
      </x:c>
      <x:c r="R70" s="20" t="str">
        <x:v>file:///root/autodl-tmp/miniwob-plusplus/miniwob/html/miniwob/choose-list.html</x:v>
      </x:c>
      <x:c r="S70" s="20" t="str">
        <x:v>Choose List Task</x:v>
      </x:c>
      <x:c r="T70" s="20" t="str">
        <x:v>RootWebArea 'Choose List Task', focused [13] combobox '' value='Sharlene', hasPopup='menu', expanded=False [21] button 'Submit', clickable, focused</x:v>
      </x:c>
      <x:c r="U70" s="6" t="str">
        <x:v>0</x:v>
      </x:c>
      <x:c r="V70" s="6" t="str">
        <x:v>0</x:v>
      </x:c>
      <x:c r="W70" s="6" t="str">
        <x:v>0</x:v>
      </x:c>
      <x:c r="X70" s="6" t="str">
        <x:v>1</x:v>
      </x:c>
      <x:c r="Y70" s="6" t="str">
        <x:v>0</x:v>
      </x:c>
      <x:c r="Z70" s="6" t="str">
        <x:v>1</x:v>
      </x:c>
      <x:c r="AA70" s="6" t="str">
        <x:v>0.0</x:v>
      </x:c>
      <x:c r="AB70" s="20" t="str">
        <x:v>Codex证据复核v1：原始记录唯一匹配、环境实测、反事实配对ID完整、终止且非成功、奖励非正、队列标签与结果派生规则一致；非人工签字。</x:v>
      </x:c>
    </x:row>
    <x:row r="71" ht="46" customHeight="1">
      <x:c r="A71" s="6" t="str">
        <x:v>1</x:v>
      </x:c>
      <x:c r="B71" s="6" t="str">
        <x:v>d5f7a7ee6c0ad727ba3e</x:v>
      </x:c>
      <x:c r="C71" s="6" t="str">
        <x:v>evidence_approved</x:v>
      </x:c>
      <x:c r="D71" s="6" t="str">
        <x:v>codex-evidence-review-v1</x:v>
      </x:c>
      <x:c r="E71" s="22" t="n">
        <x:v>46244.40206471065</x:v>
      </x:c>
      <x:c r="F71" s="6" t="str">
        <x:v>20</x:v>
      </x:c>
      <x:c r="G71" s="20" t="str">
        <x:v>observed_counterfactual;severe_failure;terminal</x:v>
      </x:c>
      <x:c r="H71" s="20" t="str">
        <x:v>browsergym/miniwob.choose-list</x:v>
      </x:c>
      <x:c r="I71" s="6" t="str">
        <x:v>browsergym/miniwob.choose-list</x:v>
      </x:c>
      <x:c r="J71" s="6" t="str">
        <x:v>cf-choose-list-seed1019-wrong_action_type</x:v>
      </x:c>
      <x:c r="K71" s="6" t="str">
        <x:v>0</x:v>
      </x:c>
      <x:c r="L71" s="20" t="str">
        <x:v>Select Lian from the list and click Submit.</x:v>
      </x:c>
      <x:c r="M71" s="20" t="str">
        <x:v>click("18", "left")</x:v>
      </x:c>
      <x:c r="N71" s="6" t="str">
        <x:v>0.0</x:v>
      </x:c>
      <x:c r="O71" s="20" t="str">
        <x:v>file:///root/autodl-tmp/miniwob-plusplus/miniwob/html/miniwob/choose-list.html</x:v>
      </x:c>
      <x:c r="P71" s="20" t="str">
        <x:v>Choose List Task</x:v>
      </x:c>
      <x:c r="Q71" s="20" t="str">
        <x:v>RootWebArea 'Choose List Task', focused [13] combobox '' value='Dede', hasPopup='menu', expanded=False [18] button 'Submit', clickable</x:v>
      </x:c>
      <x:c r="R71" s="20" t="str">
        <x:v>file:///root/autodl-tmp/miniwob-plusplus/miniwob/html/miniwob/choose-list.html</x:v>
      </x:c>
      <x:c r="S71" s="20" t="str">
        <x:v>Choose List Task</x:v>
      </x:c>
      <x:c r="T71" s="20" t="str">
        <x:v>RootWebArea 'Choose List Task', focused [13] combobox '' value='Dede', hasPopup='menu', expanded=False [18] button 'Submit', clickable, focused</x:v>
      </x:c>
      <x:c r="U71" s="6" t="str">
        <x:v>0</x:v>
      </x:c>
      <x:c r="V71" s="6" t="str">
        <x:v>0</x:v>
      </x:c>
      <x:c r="W71" s="6" t="str">
        <x:v>0</x:v>
      </x:c>
      <x:c r="X71" s="6" t="str">
        <x:v>1</x:v>
      </x:c>
      <x:c r="Y71" s="6" t="str">
        <x:v>0</x:v>
      </x:c>
      <x:c r="Z71" s="6" t="str">
        <x:v>1</x:v>
      </x:c>
      <x:c r="AA71" s="6" t="str">
        <x:v>0.0</x:v>
      </x:c>
      <x:c r="AB71" s="20" t="str">
        <x:v>Codex证据复核v1：原始记录唯一匹配、环境实测、反事实配对ID完整、终止且非成功、奖励非正、队列标签与结果派生规则一致；非人工签字。</x:v>
      </x:c>
    </x:row>
    <x:row r="72" ht="46" customHeight="1">
      <x:c r="A72" s="6" t="str">
        <x:v>1</x:v>
      </x:c>
      <x:c r="B72" s="6" t="str">
        <x:v>4ad4f82e2edc88a7b31b</x:v>
      </x:c>
      <x:c r="C72" s="6" t="str">
        <x:v>evidence_approved</x:v>
      </x:c>
      <x:c r="D72" s="6" t="str">
        <x:v>codex-evidence-review-v1</x:v>
      </x:c>
      <x:c r="E72" s="22" t="n">
        <x:v>46244.40206471065</x:v>
      </x:c>
      <x:c r="F72" s="6" t="str">
        <x:v>20</x:v>
      </x:c>
      <x:c r="G72" s="20" t="str">
        <x:v>observed_counterfactual;severe_failure;terminal</x:v>
      </x:c>
      <x:c r="H72" s="20" t="str">
        <x:v>browsergym/miniwob.choose-list</x:v>
      </x:c>
      <x:c r="I72" s="6" t="str">
        <x:v>browsergym/miniwob.choose-list</x:v>
      </x:c>
      <x:c r="J72" s="6" t="str">
        <x:v>cf-choose-list-seed1039-wrong_action_type</x:v>
      </x:c>
      <x:c r="K72" s="6" t="str">
        <x:v>0</x:v>
      </x:c>
      <x:c r="L72" s="20" t="str">
        <x:v>Select Cameroon from the list and click Submit.</x:v>
      </x:c>
      <x:c r="M72" s="20" t="str">
        <x:v>click("19", "left")</x:v>
      </x:c>
      <x:c r="N72" s="6" t="str">
        <x:v>0.0</x:v>
      </x:c>
      <x:c r="O72" s="20" t="str">
        <x:v>file:///root/autodl-tmp/miniwob-plusplus/miniwob/html/miniwob/choose-list.html</x:v>
      </x:c>
      <x:c r="P72" s="20" t="str">
        <x:v>Choose List Task</x:v>
      </x:c>
      <x:c r="Q72" s="20" t="str">
        <x:v>RootWebArea 'Choose List Task', focused [13] combobox '' value='Panama', hasPopup='menu', expanded=False [19] button 'Submit', clickable</x:v>
      </x:c>
      <x:c r="R72" s="20" t="str">
        <x:v>file:///root/autodl-tmp/miniwob-plusplus/miniwob/html/miniwob/choose-list.html</x:v>
      </x:c>
      <x:c r="S72" s="20" t="str">
        <x:v>Choose List Task</x:v>
      </x:c>
      <x:c r="T72" s="20" t="str">
        <x:v>RootWebArea 'Choose List Task', focused [13] combobox '' value='Panama', hasPopup='menu', expanded=False [19] button 'Submit', clickable, focused</x:v>
      </x:c>
      <x:c r="U72" s="6" t="str">
        <x:v>0</x:v>
      </x:c>
      <x:c r="V72" s="6" t="str">
        <x:v>0</x:v>
      </x:c>
      <x:c r="W72" s="6" t="str">
        <x:v>0</x:v>
      </x:c>
      <x:c r="X72" s="6" t="str">
        <x:v>1</x:v>
      </x:c>
      <x:c r="Y72" s="6" t="str">
        <x:v>0</x:v>
      </x:c>
      <x:c r="Z72" s="6" t="str">
        <x:v>1</x:v>
      </x:c>
      <x:c r="AA72" s="6" t="str">
        <x:v>0.0</x:v>
      </x:c>
      <x:c r="AB72" s="20" t="str">
        <x:v>Codex证据复核v1：原始记录唯一匹配、环境实测、反事实配对ID完整、终止且非成功、奖励非正、队列标签与结果派生规则一致；非人工签字。</x:v>
      </x:c>
    </x:row>
    <x:row r="73" ht="46" customHeight="1">
      <x:c r="A73" s="6" t="str">
        <x:v>1</x:v>
      </x:c>
      <x:c r="B73" s="6" t="str">
        <x:v>ce7382d2c139f2829685</x:v>
      </x:c>
      <x:c r="C73" s="6" t="str">
        <x:v>evidence_approved</x:v>
      </x:c>
      <x:c r="D73" s="6" t="str">
        <x:v>codex-evidence-review-v1</x:v>
      </x:c>
      <x:c r="E73" s="22" t="n">
        <x:v>46244.40206471065</x:v>
      </x:c>
      <x:c r="F73" s="6" t="str">
        <x:v>20</x:v>
      </x:c>
      <x:c r="G73" s="20" t="str">
        <x:v>observed_counterfactual;severe_failure;terminal</x:v>
      </x:c>
      <x:c r="H73" s="20" t="str">
        <x:v>browsergym/miniwob.click-menu</x:v>
      </x:c>
      <x:c r="I73" s="6" t="str">
        <x:v>browsergym/miniwob.click-menu</x:v>
      </x:c>
      <x:c r="J73" s="6" t="str">
        <x:v>cf-click-menu-seed1024-wrong_action_type</x:v>
      </x:c>
      <x:c r="K73" s="6" t="str">
        <x:v>0</x:v>
      </x:c>
      <x:c r="L73" s="20" t="str">
        <x:v>Select Jacky&gt;Devon&gt;Karry</x:v>
      </x:c>
      <x:c r="M73" s="20" t="str">
        <x:v>click("29", "left")</x:v>
      </x:c>
      <x:c r="N73" s="6" t="str">
        <x:v>0.0</x:v>
      </x:c>
      <x:c r="O73" s="20" t="str">
        <x:v>file:///root/autodl-tmp/miniwob-plusplus/miniwob/html/miniwob/click-menu.html</x:v>
      </x:c>
      <x:c r="P73" s="20" t="str">
        <x:v>Click Menu Task</x:v>
      </x:c>
      <x:c r="Q73" s="20" t="str">
        <x:v>RootWebArea 'Click Menu Task', focused [17] menu '', clickable, orientation='vertical' image '' [19] menuitem 'Yvette', hasPopup='menu' image '' [29] menuitem 'Jacky', hasPopup='menu'</x:v>
      </x:c>
      <x:c r="R73" s="20" t="str">
        <x:v>file:///root/autodl-tmp/miniwob-plusplus/miniwob/html/miniwob/click-menu.html</x:v>
      </x:c>
      <x:c r="S73" s="20" t="str">
        <x:v>Click Menu Task</x:v>
      </x:c>
      <x:c r="T73" s="20" t="str">
        <x:v>RootWebArea 'Click Menu Task', focused [17] menu '', clickable, orientation='vertical' image '' [19] menuitem 'Yvette', hasPopup='menu' image '' [29] menuitem 'Jacky', hasPopup='menu' [31] menu '', orientation='vertical' image '' [33] menuitem 'Devon', hasPopup='menu' image '' [43] menuitem 'Sidonnie' image '' [45] menuitem 'Stormie', hasPopup='menu'</x:v>
      </x:c>
      <x:c r="U73" s="6" t="str">
        <x:v>0</x:v>
      </x:c>
      <x:c r="V73" s="6" t="str">
        <x:v>0</x:v>
      </x:c>
      <x:c r="W73" s="6" t="str">
        <x:v>0</x:v>
      </x:c>
      <x:c r="X73" s="6" t="str">
        <x:v>1</x:v>
      </x:c>
      <x:c r="Y73" s="6" t="str">
        <x:v>0</x:v>
      </x:c>
      <x:c r="Z73" s="6" t="str">
        <x:v>1</x:v>
      </x:c>
      <x:c r="AA73" s="6" t="str">
        <x:v>0.0</x:v>
      </x:c>
      <x:c r="AB73" s="20" t="str">
        <x:v>Codex证据复核v1：原始记录唯一匹配、环境实测、反事实配对ID完整、终止且非成功、奖励非正、队列标签与结果派生规则一致；非人工签字。</x:v>
      </x:c>
    </x:row>
    <x:row r="74" ht="46" customHeight="1">
      <x:c r="A74" s="6" t="str">
        <x:v>1</x:v>
      </x:c>
      <x:c r="B74" s="6" t="str">
        <x:v>a0050761a379ad53f36f</x:v>
      </x:c>
      <x:c r="C74" s="6" t="str">
        <x:v>evidence_approved</x:v>
      </x:c>
      <x:c r="D74" s="6" t="str">
        <x:v>codex-evidence-review-v1</x:v>
      </x:c>
      <x:c r="E74" s="22" t="n">
        <x:v>46244.40206471065</x:v>
      </x:c>
      <x:c r="F74" s="6" t="str">
        <x:v>20</x:v>
      </x:c>
      <x:c r="G74" s="20" t="str">
        <x:v>observed_counterfactual;severe_failure;terminal</x:v>
      </x:c>
      <x:c r="H74" s="20" t="str">
        <x:v>browsergym/miniwob.click-tab</x:v>
      </x:c>
      <x:c r="I74" s="6" t="str">
        <x:v>browsergym/miniwob.click-tab</x:v>
      </x:c>
      <x:c r="J74" s="6" t="str">
        <x:v>cf-click-tab-seed1028-hard_wrong_target</x:v>
      </x:c>
      <x:c r="K74" s="6" t="str">
        <x:v>0</x:v>
      </x:c>
      <x:c r="L74" s="20" t="str">
        <x:v>Click on Tab #2.</x:v>
      </x:c>
      <x:c r="M74" s="20" t="str">
        <x:v>click("19", "left")</x:v>
      </x:c>
      <x:c r="N74" s="6" t="str">
        <x:v>0.0</x:v>
      </x:c>
      <x:c r="O74" s="20" t="str">
        <x:v>file:///root/autodl-tmp/miniwob-plusplus/miniwob/html/miniwob/click-tab.html</x:v>
      </x:c>
      <x:c r="P74" s="20" t="str">
        <x:v>Click Tab Task</x:v>
      </x:c>
      <x:c r="Q74"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'Pellentesque pellentesque nullam nunc in urna facilisi sit sem tempus. Curabitur pharetra ac tempor, felis, mattis tempor velit, sed phasellus.'</x:v>
      </x:c>
      <x:c r="R74" s="20" t="str">
        <x:v>file:///root/autodl-tmp/miniwob-plusplus/miniwob/html/miniwob/click-tab.html</x:v>
      </x:c>
      <x:c r="S74" s="20" t="str">
        <x:v>Click Tab Task</x:v>
      </x:c>
      <x:c r="T74"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'Pellentesque pellentesque nullam nunc in urna facilisi sit sem tempus. Curabitur pharetra ac tempor, felis, mattis tempor velit, sed phasellus.'</x:v>
      </x:c>
      <x:c r="U74" s="6" t="str">
        <x:v>0</x:v>
      </x:c>
      <x:c r="V74" s="6" t="str">
        <x:v>0</x:v>
      </x:c>
      <x:c r="W74" s="6" t="str">
        <x:v>0</x:v>
      </x:c>
      <x:c r="X74" s="6" t="str">
        <x:v>1</x:v>
      </x:c>
      <x:c r="Y74" s="6" t="str">
        <x:v>0</x:v>
      </x:c>
      <x:c r="Z74" s="6" t="str">
        <x:v>1</x:v>
      </x:c>
      <x:c r="AA74" s="6" t="str">
        <x:v>0.0</x:v>
      </x:c>
      <x:c r="AB74" s="20" t="str">
        <x:v>Codex证据复核v1：原始记录唯一匹配、环境实测、反事实配对ID完整、终止且非成功、奖励非正、队列标签与结果派生规则一致；非人工签字。</x:v>
      </x:c>
    </x:row>
    <x:row r="75" ht="46" customHeight="1">
      <x:c r="A75" s="6" t="str">
        <x:v>1</x:v>
      </x:c>
      <x:c r="B75" s="6" t="str">
        <x:v>86edb76a18588ff57fb9</x:v>
      </x:c>
      <x:c r="C75" s="6" t="str">
        <x:v>evidence_approved</x:v>
      </x:c>
      <x:c r="D75" s="6" t="str">
        <x:v>codex-evidence-review-v1</x:v>
      </x:c>
      <x:c r="E75" s="22" t="n">
        <x:v>46244.40206471065</x:v>
      </x:c>
      <x:c r="F75" s="6" t="str">
        <x:v>20</x:v>
      </x:c>
      <x:c r="G75" s="20" t="str">
        <x:v>observed_counterfactual;severe_failure;terminal</x:v>
      </x:c>
      <x:c r="H75" s="20" t="str">
        <x:v>browsergym/miniwob.click-button</x:v>
      </x:c>
      <x:c r="I75" s="6" t="str">
        <x:v>browsergym/miniwob.click-button</x:v>
      </x:c>
      <x:c r="J75" s="6" t="str">
        <x:v>cf-click-button-seed1039-hard_wrong_target</x:v>
      </x:c>
      <x:c r="K75" s="6" t="str">
        <x:v>0</x:v>
      </x:c>
      <x:c r="L75" s="20" t="str">
        <x:v>Click on the "cancel" button.</x:v>
      </x:c>
      <x:c r="M75" s="20" t="str">
        <x:v>click("15", "left")</x:v>
      </x:c>
      <x:c r="N75" s="6" t="str">
        <x:v>0.0</x:v>
      </x:c>
      <x:c r="O75" s="20" t="str">
        <x:v>file:///root/autodl-tmp/miniwob-plusplus/miniwob/html/miniwob/click-button.html</x:v>
      </x:c>
      <x:c r="P75" s="20" t="str">
        <x:v>Click Button Task</x:v>
      </x:c>
      <x:c r="Q75" s="20" t="str">
        <x:v>RootWebArea 'Click Button Task', focused StaticText 'mauris potenti viverra:' [13] textbox '', clickable [15] button 'Next', clickable [17] textbox '', clickable StaticText 'neque varius sed' StaticText 'volutpat facilisis amet' [21] button 'cancel', clickable</x:v>
      </x:c>
      <x:c r="R75" s="20" t="str">
        <x:v>file:///root/autodl-tmp/miniwob-plusplus/miniwob/html/miniwob/click-button.html</x:v>
      </x:c>
      <x:c r="S75" s="20" t="str">
        <x:v>Click Button Task</x:v>
      </x:c>
      <x:c r="T75" s="20" t="str">
        <x:v>RootWebArea 'Click Button Task', focused StaticText 'mauris potenti viverra:' [13] textbox '', clickable [15] button 'Next', clickable, focused [17] textbox '', clickable StaticText 'neque varius sed' StaticText 'volutpat facilisis amet' [21] button 'cancel', clickable</x:v>
      </x:c>
      <x:c r="U75" s="6" t="str">
        <x:v>0</x:v>
      </x:c>
      <x:c r="V75" s="6" t="str">
        <x:v>0</x:v>
      </x:c>
      <x:c r="W75" s="6" t="str">
        <x:v>0</x:v>
      </x:c>
      <x:c r="X75" s="6" t="str">
        <x:v>1</x:v>
      </x:c>
      <x:c r="Y75" s="6" t="str">
        <x:v>0</x:v>
      </x:c>
      <x:c r="Z75" s="6" t="str">
        <x:v>1</x:v>
      </x:c>
      <x:c r="AA75" s="6" t="str">
        <x:v>0.0</x:v>
      </x:c>
      <x:c r="AB75" s="20" t="str">
        <x:v>Codex证据复核v1：原始记录唯一匹配、环境实测、反事实配对ID完整、终止且非成功、奖励非正、队列标签与结果派生规则一致；非人工签字。</x:v>
      </x:c>
    </x:row>
    <x:row r="76" ht="46" customHeight="1">
      <x:c r="A76" s="6" t="str">
        <x:v>1</x:v>
      </x:c>
      <x:c r="B76" s="6" t="str">
        <x:v>c0da6a7c6348a5421ed6</x:v>
      </x:c>
      <x:c r="C76" s="6" t="str">
        <x:v>evidence_approved</x:v>
      </x:c>
      <x:c r="D76" s="6" t="str">
        <x:v>codex-evidence-review-v1</x:v>
      </x:c>
      <x:c r="E76" s="22" t="n">
        <x:v>46244.40206471065</x:v>
      </x:c>
      <x:c r="F76" s="6" t="str">
        <x:v>20</x:v>
      </x:c>
      <x:c r="G76" s="20" t="str">
        <x:v>observed_counterfactual;severe_failure;terminal</x:v>
      </x:c>
      <x:c r="H76" s="20" t="str">
        <x:v>browsergym/miniwob.click-collapsible</x:v>
      </x:c>
      <x:c r="I76" s="6" t="str">
        <x:v>browsergym/miniwob.click-collapsible</x:v>
      </x:c>
      <x:c r="J76" s="6" t="str">
        <x:v>cf-click-collapsible-seed1017-hard_wrong_target</x:v>
      </x:c>
      <x:c r="K76" s="6" t="str">
        <x:v>0</x:v>
      </x:c>
      <x:c r="L76" s="20" t="str">
        <x:v>Expand the section below and click submit.</x:v>
      </x:c>
      <x:c r="M76" s="20" t="str">
        <x:v>click("22", "left")</x:v>
      </x:c>
      <x:c r="N76" s="6" t="str">
        <x:v>0.0</x:v>
      </x:c>
      <x:c r="O76" s="20" t="str">
        <x:v>file:///root/autodl-tmp/miniwob-plusplus/miniwob/html/miniwob/click-collapsible.html</x:v>
      </x:c>
      <x:c r="P76" s="20" t="str">
        <x:v>Click Collapsible Task</x:v>
      </x:c>
      <x:c r="Q76" s="20" t="str">
        <x:v>RootWebArea 'Click Collapsible Task', focused [15] tablist '', multiselectable=False, orientation='horizontal' [16] tab 'Section #47', clickable, expanded=False, selected=False, controls='ui-id-2' [19] tab 'Submit', clickable, expanded=False, selected=False [22] button 'Submit', clickable</x:v>
      </x:c>
      <x:c r="R76" s="20" t="str">
        <x:v>file:///root/autodl-tmp/miniwob-plusplus/miniwob/html/miniwob/click-collapsible.html</x:v>
      </x:c>
      <x:c r="S76" s="20" t="str">
        <x:v>Click Collapsible Task</x:v>
      </x:c>
      <x:c r="T76" s="20" t="str">
        <x:v>RootWebArea 'Click Collapsible Task', focused [15] tablist '', multiselectable=False, orientation='horizontal' [16] tab 'Section #47', clickable, expanded=False, selected=False, controls='ui-id-2' [19] tab 'Submit', clickable, expanded=False, selected=False [22] button 'Submit', clickable, focused</x:v>
      </x:c>
      <x:c r="U76" s="6" t="str">
        <x:v>0</x:v>
      </x:c>
      <x:c r="V76" s="6" t="str">
        <x:v>0</x:v>
      </x:c>
      <x:c r="W76" s="6" t="str">
        <x:v>0</x:v>
      </x:c>
      <x:c r="X76" s="6" t="str">
        <x:v>1</x:v>
      </x:c>
      <x:c r="Y76" s="6" t="str">
        <x:v>0</x:v>
      </x:c>
      <x:c r="Z76" s="6" t="str">
        <x:v>1</x:v>
      </x:c>
      <x:c r="AA76" s="6" t="str">
        <x:v>0.0</x:v>
      </x:c>
      <x:c r="AB76" s="20" t="str">
        <x:v>Codex证据复核v1：原始记录唯一匹配、环境实测、反事实配对ID完整、终止且非成功、奖励非正、队列标签与结果派生规则一致；非人工签字。</x:v>
      </x:c>
    </x:row>
    <x:row r="77" ht="46" customHeight="1">
      <x:c r="A77" s="6" t="str">
        <x:v>1</x:v>
      </x:c>
      <x:c r="B77" s="6" t="str">
        <x:v>4e9c7dc70d00bd421190</x:v>
      </x:c>
      <x:c r="C77" s="6" t="str">
        <x:v>evidence_approved</x:v>
      </x:c>
      <x:c r="D77" s="6" t="str">
        <x:v>codex-evidence-review-v1</x:v>
      </x:c>
      <x:c r="E77" s="22" t="n">
        <x:v>46244.40206471065</x:v>
      </x:c>
      <x:c r="F77" s="6" t="str">
        <x:v>20</x:v>
      </x:c>
      <x:c r="G77" s="20" t="str">
        <x:v>observed_counterfactual;severe_failure;terminal</x:v>
      </x:c>
      <x:c r="H77" s="20" t="str">
        <x:v>browsergym/miniwob.enter-text</x:v>
      </x:c>
      <x:c r="I77" s="6" t="str">
        <x:v>browsergym/miniwob.enter-text</x:v>
      </x:c>
      <x:c r="J77" s="6" t="str">
        <x:v>cf-enter-text-seed1022-hard_wrong_target</x:v>
      </x:c>
      <x:c r="K77" s="6" t="str">
        <x:v>0</x:v>
      </x:c>
      <x:c r="L77" s="20" t="str">
        <x:v>Enter "Cheree" into the text field and press Submit.</x:v>
      </x:c>
      <x:c r="M77" s="20" t="str">
        <x:v>click("15", "left")</x:v>
      </x:c>
      <x:c r="N77" s="6" t="str">
        <x:v>0.0</x:v>
      </x:c>
      <x:c r="O77" s="20" t="str">
        <x:v>file:///root/autodl-tmp/miniwob-plusplus/miniwob/html/miniwob/enter-text.html</x:v>
      </x:c>
      <x:c r="P77" s="20" t="str">
        <x:v>Enter Text Task</x:v>
      </x:c>
      <x:c r="Q77" s="20" t="str">
        <x:v>RootWebArea 'Enter Text Task', focused [14] textbox '', clickable [15] button 'Submit', clickable</x:v>
      </x:c>
      <x:c r="R77" s="20" t="str">
        <x:v>file:///root/autodl-tmp/miniwob-plusplus/miniwob/html/miniwob/enter-text.html</x:v>
      </x:c>
      <x:c r="S77" s="20" t="str">
        <x:v>Enter Text Task</x:v>
      </x:c>
      <x:c r="T77" s="20" t="str">
        <x:v>RootWebArea 'Enter Text Task', focused [14] textbox '', clickable [15] button 'Submit', clickable, focused</x:v>
      </x:c>
      <x:c r="U77" s="6" t="str">
        <x:v>0</x:v>
      </x:c>
      <x:c r="V77" s="6" t="str">
        <x:v>0</x:v>
      </x:c>
      <x:c r="W77" s="6" t="str">
        <x:v>0</x:v>
      </x:c>
      <x:c r="X77" s="6" t="str">
        <x:v>1</x:v>
      </x:c>
      <x:c r="Y77" s="6" t="str">
        <x:v>0</x:v>
      </x:c>
      <x:c r="Z77" s="6" t="str">
        <x:v>1</x:v>
      </x:c>
      <x:c r="AA77" s="6" t="str">
        <x:v>0.0</x:v>
      </x:c>
      <x:c r="AB77" s="20" t="str">
        <x:v>Codex证据复核v1：原始记录唯一匹配、环境实测、反事实配对ID完整、终止且非成功、奖励非正、队列标签与结果派生规则一致；非人工签字。</x:v>
      </x:c>
    </x:row>
    <x:row r="78" ht="46" customHeight="1">
      <x:c r="A78" s="6" t="str">
        <x:v>1</x:v>
      </x:c>
      <x:c r="B78" s="6" t="str">
        <x:v>7f6139595eebd5bfb710</x:v>
      </x:c>
      <x:c r="C78" s="6" t="str">
        <x:v>evidence_approved</x:v>
      </x:c>
      <x:c r="D78" s="6" t="str">
        <x:v>codex-evidence-review-v1</x:v>
      </x:c>
      <x:c r="E78" s="22" t="n">
        <x:v>46244.40206471065</x:v>
      </x:c>
      <x:c r="F78" s="6" t="str">
        <x:v>20</x:v>
      </x:c>
      <x:c r="G78" s="20" t="str">
        <x:v>observed_counterfactual;severe_failure;terminal</x:v>
      </x:c>
      <x:c r="H78" s="20" t="str">
        <x:v>browsergym/miniwob.click-widget</x:v>
      </x:c>
      <x:c r="I78" s="6" t="str">
        <x:v>browsergym/miniwob.click-widget</x:v>
      </x:c>
      <x:c r="J78" s="6" t="str">
        <x:v>cf-click-widget-seed1010-missing_target</x:v>
      </x:c>
      <x:c r="K78" s="6" t="str">
        <x:v>0</x:v>
      </x:c>
      <x:c r="L78" s="20" t="str">
        <x:v>Click on a "textarea" widget.</x:v>
      </x:c>
      <x:c r="M78" s="20" t="str">
        <x:v>click("24", "left")</x:v>
      </x:c>
      <x:c r="N78" s="6" t="str">
        <x:v>0.0</x:v>
      </x:c>
      <x:c r="O78" s="20" t="str">
        <x:v>file:///root/autodl-tmp/miniwob-plusplus/miniwob/html/miniwob/click-widget.html</x:v>
      </x:c>
      <x:c r="P78" s="20" t="str">
        <x:v>Click Widget Task</x:v>
      </x:c>
      <x:c r="Q78"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x:v>
      </x:c>
      <x:c r="R78" s="20" t="str">
        <x:v>file:///root/autodl-tmp/miniwob-plusplus/miniwob/html/miniwob/click-widget.html</x:v>
      </x:c>
      <x:c r="S78" s="20" t="str">
        <x:v>Click Widget Task</x:v>
      </x:c>
      <x:c r="T78"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 focused</x:v>
      </x:c>
      <x:c r="U78" s="6" t="str">
        <x:v>0</x:v>
      </x:c>
      <x:c r="V78" s="6" t="str">
        <x:v>0</x:v>
      </x:c>
      <x:c r="W78" s="6" t="str">
        <x:v>0</x:v>
      </x:c>
      <x:c r="X78" s="6" t="str">
        <x:v>1</x:v>
      </x:c>
      <x:c r="Y78" s="6" t="str">
        <x:v>0</x:v>
      </x:c>
      <x:c r="Z78" s="6" t="str">
        <x:v>1</x:v>
      </x:c>
      <x:c r="AA78" s="6" t="str">
        <x:v>0.0</x:v>
      </x:c>
      <x:c r="AB78" s="20" t="str">
        <x:v>Codex证据复核v1：原始记录唯一匹配、环境实测、反事实配对ID完整、终止且非成功、奖励非正、队列标签与结果派生规则一致；非人工签字。</x:v>
      </x:c>
    </x:row>
    <x:row r="79" ht="46" customHeight="1">
      <x:c r="A79" s="6" t="str">
        <x:v>1</x:v>
      </x:c>
      <x:c r="B79" s="6" t="str">
        <x:v>5ef90b32370d9a95d997</x:v>
      </x:c>
      <x:c r="C79" s="6" t="str">
        <x:v>evidence_approved</x:v>
      </x:c>
      <x:c r="D79" s="6" t="str">
        <x:v>codex-evidence-review-v1</x:v>
      </x:c>
      <x:c r="E79" s="22" t="n">
        <x:v>46244.40206471065</x:v>
      </x:c>
      <x:c r="F79" s="6" t="str">
        <x:v>20</x:v>
      </x:c>
      <x:c r="G79" s="20" t="str">
        <x:v>observed_counterfactual;severe_failure;terminal</x:v>
      </x:c>
      <x:c r="H79" s="20" t="str">
        <x:v>browsergym/miniwob.click-checkboxes-soft</x:v>
      </x:c>
      <x:c r="I79" s="6" t="str">
        <x:v>browsergym/miniwob.click-checkboxes-soft</x:v>
      </x:c>
      <x:c r="J79" s="6" t="str">
        <x:v>cf-click-checkboxes-soft-seed1010-wrong_action_type</x:v>
      </x:c>
      <x:c r="K79" s="6" t="str">
        <x:v>0</x:v>
      </x:c>
      <x:c r="L79" s="20" t="str">
        <x:v>Select words similar to televisions, flame and click Submit.</x:v>
      </x:c>
      <x:c r="M79" s="20" t="str">
        <x:v>click("27", "left")</x:v>
      </x:c>
      <x:c r="N79" s="6" t="str">
        <x:v>0.0</x:v>
      </x:c>
      <x:c r="O79" s="20" t="str">
        <x:v>file:///root/autodl-tmp/miniwob-plusplus/miniwob/html/miniwob/click-checkboxes-soft.html</x:v>
      </x:c>
      <x:c r="P79" s="20" t="str">
        <x:v>Click Checkboxes Task</x:v>
      </x:c>
      <x:c r="Q79" s="20" t="str">
        <x:v>RootWebArea 'Click Checkboxes Task', focused [17] LabelText '', clickable [18] checkbox 'flames', clickable, checked='false' StaticText 'flames' [20] LabelText '', clickable [21] checkbox 'corrupt', clickable, checked='false' StaticText 'corrupt' [23] LabelText '', clickable [24] checkbox 'TVs', clickable, checked='false' StaticText 'TVs' [27] button 'Submit', clickable</x:v>
      </x:c>
      <x:c r="R79" s="20" t="str">
        <x:v>file:///root/autodl-tmp/miniwob-plusplus/miniwob/html/miniwob/click-checkboxes-soft.html</x:v>
      </x:c>
      <x:c r="S79" s="20" t="str">
        <x:v>Click Checkboxes Task</x:v>
      </x:c>
      <x:c r="T79" s="20" t="str">
        <x:v>RootWebArea 'Click Checkboxes Task', focused [17] LabelText '', clickable [18] checkbox 'flames', clickable, checked='false' StaticText 'flames' [20] LabelText '', clickable [21] checkbox 'corrupt', clickable, checked='false' StaticText 'corrupt' [23] LabelText '', clickable [24] checkbox 'TVs', clickable, checked='false' StaticText 'TVs' [27] button 'Submit', clickable, focused</x:v>
      </x:c>
      <x:c r="U79" s="6" t="str">
        <x:v>0</x:v>
      </x:c>
      <x:c r="V79" s="6" t="str">
        <x:v>0</x:v>
      </x:c>
      <x:c r="W79" s="6" t="str">
        <x:v>0</x:v>
      </x:c>
      <x:c r="X79" s="6" t="str">
        <x:v>1</x:v>
      </x:c>
      <x:c r="Y79" s="6" t="str">
        <x:v>0</x:v>
      </x:c>
      <x:c r="Z79" s="6" t="str">
        <x:v>1</x:v>
      </x:c>
      <x:c r="AA79" s="6" t="str">
        <x:v>0.0</x:v>
      </x:c>
      <x:c r="AB79" s="20" t="str">
        <x:v>Codex证据复核v1：原始记录唯一匹配、环境实测、反事实配对ID完整、终止且非成功、奖励非正、队列标签与结果派生规则一致；非人工签字。</x:v>
      </x:c>
    </x:row>
    <x:row r="80" ht="46" customHeight="1">
      <x:c r="A80" s="6" t="str">
        <x:v>1</x:v>
      </x:c>
      <x:c r="B80" s="6" t="str">
        <x:v>c283593734a0eb657f78</x:v>
      </x:c>
      <x:c r="C80" s="6" t="str">
        <x:v>evidence_approved</x:v>
      </x:c>
      <x:c r="D80" s="6" t="str">
        <x:v>codex-evidence-review-v1</x:v>
      </x:c>
      <x:c r="E80" s="22" t="n">
        <x:v>46244.40206471065</x:v>
      </x:c>
      <x:c r="F80" s="6" t="str">
        <x:v>20</x:v>
      </x:c>
      <x:c r="G80" s="20" t="str">
        <x:v>observed_counterfactual;severe_failure;terminal</x:v>
      </x:c>
      <x:c r="H80" s="20" t="str">
        <x:v>browsergym/miniwob.click-menu</x:v>
      </x:c>
      <x:c r="I80" s="6" t="str">
        <x:v>browsergym/miniwob.click-menu</x:v>
      </x:c>
      <x:c r="J80" s="6" t="str">
        <x:v>cf-click-menu-seed1026-wrong_action_type</x:v>
      </x:c>
      <x:c r="K80" s="6" t="str">
        <x:v>0</x:v>
      </x:c>
      <x:c r="L80" s="20" t="str">
        <x:v>Select Edy&gt;Bertine&gt;Elianore</x:v>
      </x:c>
      <x:c r="M80" s="20" t="str">
        <x:v>click("21", "left")</x:v>
      </x:c>
      <x:c r="N80" s="6" t="str">
        <x:v>0.0</x:v>
      </x:c>
      <x:c r="O80" s="20" t="str">
        <x:v>file:///root/autodl-tmp/miniwob-plusplus/miniwob/html/miniwob/click-menu.html</x:v>
      </x:c>
      <x:c r="P80" s="20" t="str">
        <x:v>Click Menu Task</x:v>
      </x:c>
      <x:c r="Q80" s="20" t="str">
        <x:v>RootWebArea 'Click Menu Task', focused [17] menu '', clickable, orientation='vertical' image '' [19] menuitem 'Ethel' image '' [21] menuitem 'Edy', hasPopup='menu'</x:v>
      </x:c>
      <x:c r="R80" s="20" t="str">
        <x:v>file:///root/autodl-tmp/miniwob-plusplus/miniwob/html/miniwob/click-menu.html</x:v>
      </x:c>
      <x:c r="S80" s="20" t="str">
        <x:v>Click Menu Task</x:v>
      </x:c>
      <x:c r="T80" s="20" t="str">
        <x:v>RootWebArea 'Click Menu Task', focused [17] menu '', clickable, orientation='vertical' image '' [19] menuitem 'Ethel' image '' [21] menuitem 'Edy', hasPopup='menu' [23] menu '', orientation='vertical' image '' [25] menuitem 'Bertine', hasPopup='menu' image '' [37] menuitem 'Gus' image '' [39] menuitem 'Denise' image '' [41] menuitem 'Marsiella'</x:v>
      </x:c>
      <x:c r="U80" s="6" t="str">
        <x:v>0</x:v>
      </x:c>
      <x:c r="V80" s="6" t="str">
        <x:v>0</x:v>
      </x:c>
      <x:c r="W80" s="6" t="str">
        <x:v>0</x:v>
      </x:c>
      <x:c r="X80" s="6" t="str">
        <x:v>1</x:v>
      </x:c>
      <x:c r="Y80" s="6" t="str">
        <x:v>0</x:v>
      </x:c>
      <x:c r="Z80" s="6" t="str">
        <x:v>1</x:v>
      </x:c>
      <x:c r="AA80" s="6" t="str">
        <x:v>0.0</x:v>
      </x:c>
      <x:c r="AB80" s="20" t="str">
        <x:v>Codex证据复核v1：原始记录唯一匹配、环境实测、反事实配对ID完整、终止且非成功、奖励非正、队列标签与结果派生规则一致；非人工签字。</x:v>
      </x:c>
    </x:row>
    <x:row r="81" ht="46" customHeight="1">
      <x:c r="A81" s="6" t="str">
        <x:v>1</x:v>
      </x:c>
      <x:c r="B81" s="6" t="str">
        <x:v>cd17607f9f82a1ca74ee</x:v>
      </x:c>
      <x:c r="C81" s="6" t="str">
        <x:v>evidence_approved</x:v>
      </x:c>
      <x:c r="D81" s="6" t="str">
        <x:v>codex-evidence-review-v1</x:v>
      </x:c>
      <x:c r="E81" s="22" t="n">
        <x:v>46244.40206471065</x:v>
      </x:c>
      <x:c r="F81" s="6" t="str">
        <x:v>20</x:v>
      </x:c>
      <x:c r="G81" s="20" t="str">
        <x:v>observed_counterfactual;severe_failure;terminal</x:v>
      </x:c>
      <x:c r="H81" s="20" t="str">
        <x:v>browsergym/miniwob.login-user</x:v>
      </x:c>
      <x:c r="I81" s="6" t="str">
        <x:v>browsergym/miniwob.login-user</x:v>
      </x:c>
      <x:c r="J81" s="6" t="str">
        <x:v>cf-login-user-seed1026-hard_wrong_target</x:v>
      </x:c>
      <x:c r="K81" s="6" t="str">
        <x:v>0</x:v>
      </x:c>
      <x:c r="L81" s="20" t="str">
        <x:v>Enter the username "riley" and the password "EATH" into the text fields and press login.</x:v>
      </x:c>
      <x:c r="M81" s="20" t="str">
        <x:v>click("20", "left")</x:v>
      </x:c>
      <x:c r="N81" s="6" t="str">
        <x:v>0.0</x:v>
      </x:c>
      <x:c r="O81" s="20" t="str">
        <x:v>file:///root/autodl-tmp/miniwob-plusplus/miniwob/html/miniwob/login-user.html</x:v>
      </x:c>
      <x:c r="P81" s="20" t="str">
        <x:v>Login User Task</x:v>
      </x:c>
      <x:c r="Q81" s="20" t="str">
        <x:v>RootWebArea 'Login User Task', focused [14] paragraph '' [15] LabelText '' StaticText 'Username' [16] textbox '', clickable [17] paragraph '' [18] LabelText '' StaticText 'Password' [19] textbox '', clickable [20] button 'Login', clickable</x:v>
      </x:c>
      <x:c r="R81" s="20" t="str">
        <x:v>file:///root/autodl-tmp/miniwob-plusplus/miniwob/html/miniwob/login-user.html</x:v>
      </x:c>
      <x:c r="S81" s="20" t="str">
        <x:v>Login User Task</x:v>
      </x:c>
      <x:c r="T81" s="20" t="str">
        <x:v>RootWebArea 'Login User Task', focused [14] paragraph '' [15] LabelText '' StaticText 'Username' [16] textbox '', clickable [17] paragraph '' [18] LabelText '' StaticText 'Password' [19] textbox '', clickable [20] button 'Login', clickable, focused</x:v>
      </x:c>
      <x:c r="U81" s="6" t="str">
        <x:v>0</x:v>
      </x:c>
      <x:c r="V81" s="6" t="str">
        <x:v>0</x:v>
      </x:c>
      <x:c r="W81" s="6" t="str">
        <x:v>0</x:v>
      </x:c>
      <x:c r="X81" s="6" t="str">
        <x:v>1</x:v>
      </x:c>
      <x:c r="Y81" s="6" t="str">
        <x:v>0</x:v>
      </x:c>
      <x:c r="Z81" s="6" t="str">
        <x:v>1</x:v>
      </x:c>
      <x:c r="AA81" s="6" t="str">
        <x:v>0.0</x:v>
      </x:c>
      <x:c r="AB81" s="20" t="str">
        <x:v>Codex证据复核v1：原始记录唯一匹配、环境实测、反事实配对ID完整、终止且非成功、奖励非正、队列标签与结果派生规则一致；非人工签字。</x:v>
      </x:c>
    </x:row>
    <x:row r="82" ht="46" customHeight="1">
      <x:c r="A82" s="6" t="str">
        <x:v>1</x:v>
      </x:c>
      <x:c r="B82" s="6" t="str">
        <x:v>783f2e8778e9c58f3ed7</x:v>
      </x:c>
      <x:c r="C82" s="6" t="str">
        <x:v>evidence_approved</x:v>
      </x:c>
      <x:c r="D82" s="6" t="str">
        <x:v>codex-evidence-review-v1</x:v>
      </x:c>
      <x:c r="E82" s="22" t="n">
        <x:v>46244.40206471065</x:v>
      </x:c>
      <x:c r="F82" s="6" t="str">
        <x:v>20</x:v>
      </x:c>
      <x:c r="G82" s="20" t="str">
        <x:v>observed_counterfactual;severe_failure;terminal</x:v>
      </x:c>
      <x:c r="H82" s="20" t="str">
        <x:v>browsergym/miniwob.enter-text-2</x:v>
      </x:c>
      <x:c r="I82" s="6" t="str">
        <x:v>browsergym/miniwob.enter-text-2</x:v>
      </x:c>
      <x:c r="J82" s="6" t="str">
        <x:v>cf-enter-text-2-seed1022-hard_wrong_target</x:v>
      </x:c>
      <x:c r="K82" s="6" t="str">
        <x:v>0</x:v>
      </x:c>
      <x:c r="L82" s="20" t="str">
        <x:v>Type "cheree" in all upper case letters in the text input and press Submit.</x:v>
      </x:c>
      <x:c r="M82" s="20" t="str">
        <x:v>click("15", "left")</x:v>
      </x:c>
      <x:c r="N82" s="6" t="str">
        <x:v>0.0</x:v>
      </x:c>
      <x:c r="O82" s="20" t="str">
        <x:v>file:///root/autodl-tmp/miniwob-plusplus/miniwob/html/miniwob/enter-text-2.html</x:v>
      </x:c>
      <x:c r="P82" s="20" t="str">
        <x:v>Enter Text Task</x:v>
      </x:c>
      <x:c r="Q82" s="20" t="str">
        <x:v>RootWebArea 'Enter Text Task', focused [14] textbox '', clickable [15] button 'Submit', clickable</x:v>
      </x:c>
      <x:c r="R82" s="20" t="str">
        <x:v>file:///root/autodl-tmp/miniwob-plusplus/miniwob/html/miniwob/enter-text-2.html</x:v>
      </x:c>
      <x:c r="S82" s="20" t="str">
        <x:v>Enter Text Task</x:v>
      </x:c>
      <x:c r="T82" s="20" t="str">
        <x:v>RootWebArea 'Enter Text Task', focused [14] textbox '', clickable [15] button 'Submit', clickable, focused</x:v>
      </x:c>
      <x:c r="U82" s="6" t="str">
        <x:v>0</x:v>
      </x:c>
      <x:c r="V82" s="6" t="str">
        <x:v>0</x:v>
      </x:c>
      <x:c r="W82" s="6" t="str">
        <x:v>0</x:v>
      </x:c>
      <x:c r="X82" s="6" t="str">
        <x:v>1</x:v>
      </x:c>
      <x:c r="Y82" s="6" t="str">
        <x:v>0</x:v>
      </x:c>
      <x:c r="Z82" s="6" t="str">
        <x:v>1</x:v>
      </x:c>
      <x:c r="AA82" s="6" t="str">
        <x:v>0.0</x:v>
      </x:c>
      <x:c r="AB82" s="20" t="str">
        <x:v>Codex证据复核v1：原始记录唯一匹配、环境实测、反事实配对ID完整、终止且非成功、奖励非正、队列标签与结果派生规则一致；非人工签字。</x:v>
      </x:c>
    </x:row>
    <x:row r="83" ht="46" customHeight="1">
      <x:c r="A83" s="6" t="str">
        <x:v>1</x:v>
      </x:c>
      <x:c r="B83" s="6" t="str">
        <x:v>aa72aba964ec8ff60b5b</x:v>
      </x:c>
      <x:c r="C83" s="6" t="str">
        <x:v>evidence_approved</x:v>
      </x:c>
      <x:c r="D83" s="6" t="str">
        <x:v>codex-evidence-review-v1</x:v>
      </x:c>
      <x:c r="E83" s="22" t="n">
        <x:v>46244.40206471065</x:v>
      </x:c>
      <x:c r="F83" s="6" t="str">
        <x:v>20</x:v>
      </x:c>
      <x:c r="G83" s="20" t="str">
        <x:v>observed_counterfactual;severe_failure;terminal</x:v>
      </x:c>
      <x:c r="H83" s="20" t="str">
        <x:v>browsergym/miniwob.enter-password</x:v>
      </x:c>
      <x:c r="I83" s="6" t="str">
        <x:v>browsergym/miniwob.enter-password</x:v>
      </x:c>
      <x:c r="J83" s="6" t="str">
        <x:v>cf-enter-password-seed1006-hard_wrong_target</x:v>
      </x:c>
      <x:c r="K83" s="6" t="str">
        <x:v>0</x:v>
      </x:c>
      <x:c r="L83" s="20" t="str">
        <x:v>Enter the password "jz" into both text fields and press submit.</x:v>
      </x:c>
      <x:c r="M83" s="20" t="str">
        <x:v>click("20", "left")</x:v>
      </x:c>
      <x:c r="N83" s="6" t="str">
        <x:v>0.0</x:v>
      </x:c>
      <x:c r="O83" s="20" t="str">
        <x:v>file:///root/autodl-tmp/miniwob-plusplus/miniwob/html/miniwob/enter-password.html</x:v>
      </x:c>
      <x:c r="P83" s="20" t="str">
        <x:v>Enter Password Task</x:v>
      </x:c>
      <x:c r="Q83" s="20" t="str">
        <x:v>RootWebArea 'Enter Password Task', focused [14] paragraph '' [15] LabelText '' StaticText 'Password' [16] textbox '', clickable [17] paragraph '' [18] LabelText '' StaticText 'Verify password' [19] textbox '', clickable [20] button 'Submit', clickable</x:v>
      </x:c>
      <x:c r="R83" s="20" t="str">
        <x:v>file:///root/autodl-tmp/miniwob-plusplus/miniwob/html/miniwob/enter-password.html</x:v>
      </x:c>
      <x:c r="S83" s="20" t="str">
        <x:v>Enter Password Task</x:v>
      </x:c>
      <x:c r="T83" s="20" t="str">
        <x:v>RootWebArea 'Enter Password Task', focused [14] paragraph '' [15] LabelText '' StaticText 'Password' [16] textbox '', clickable [17] paragraph '' [18] LabelText '' StaticText 'Verify password' [19] textbox '', clickable [20] button 'Submit', clickable, focused</x:v>
      </x:c>
      <x:c r="U83" s="6" t="str">
        <x:v>0</x:v>
      </x:c>
      <x:c r="V83" s="6" t="str">
        <x:v>0</x:v>
      </x:c>
      <x:c r="W83" s="6" t="str">
        <x:v>0</x:v>
      </x:c>
      <x:c r="X83" s="6" t="str">
        <x:v>1</x:v>
      </x:c>
      <x:c r="Y83" s="6" t="str">
        <x:v>0</x:v>
      </x:c>
      <x:c r="Z83" s="6" t="str">
        <x:v>1</x:v>
      </x:c>
      <x:c r="AA83" s="6" t="str">
        <x:v>0.0</x:v>
      </x:c>
      <x:c r="AB83" s="20" t="str">
        <x:v>Codex证据复核v1：原始记录唯一匹配、环境实测、反事实配对ID完整、终止且非成功、奖励非正、队列标签与结果派生规则一致；非人工签字。</x:v>
      </x:c>
    </x:row>
    <x:row r="84" ht="46" customHeight="1">
      <x:c r="A84" s="6" t="str">
        <x:v>1</x:v>
      </x:c>
      <x:c r="B84" s="6" t="str">
        <x:v>6ce0698eac070b4563a0</x:v>
      </x:c>
      <x:c r="C84" s="6" t="str">
        <x:v>evidence_approved</x:v>
      </x:c>
      <x:c r="D84" s="6" t="str">
        <x:v>codex-evidence-review-v1</x:v>
      </x:c>
      <x:c r="E84" s="22" t="n">
        <x:v>46244.40206471065</x:v>
      </x:c>
      <x:c r="F84" s="6" t="str">
        <x:v>20</x:v>
      </x:c>
      <x:c r="G84" s="20" t="str">
        <x:v>observed_counterfactual;severe_failure;terminal</x:v>
      </x:c>
      <x:c r="H84" s="20" t="str">
        <x:v>browsergym/miniwob.choose-list</x:v>
      </x:c>
      <x:c r="I84" s="6" t="str">
        <x:v>browsergym/miniwob.choose-list</x:v>
      </x:c>
      <x:c r="J84" s="6" t="str">
        <x:v>cf-choose-list-seed1014-missing_target</x:v>
      </x:c>
      <x:c r="K84" s="6" t="str">
        <x:v>0</x:v>
      </x:c>
      <x:c r="L84" s="20" t="str">
        <x:v>Select Gambia from the list and click Submit.</x:v>
      </x:c>
      <x:c r="M84" s="20" t="str">
        <x:v>click("20", "left")</x:v>
      </x:c>
      <x:c r="N84" s="6" t="str">
        <x:v>0.0</x:v>
      </x:c>
      <x:c r="O84" s="20" t="str">
        <x:v>file:///root/autodl-tmp/miniwob-plusplus/miniwob/html/miniwob/choose-list.html</x:v>
      </x:c>
      <x:c r="P84" s="20" t="str">
        <x:v>Choose List Task</x:v>
      </x:c>
      <x:c r="Q84" s="20" t="str">
        <x:v>RootWebArea 'Choose List Task', focused [13] combobox '' value='Saint Martin', hasPopup='menu', expanded=False [20] button 'Submit', clickable</x:v>
      </x:c>
      <x:c r="R84" s="20" t="str">
        <x:v>file:///root/autodl-tmp/miniwob-plusplus/miniwob/html/miniwob/choose-list.html</x:v>
      </x:c>
      <x:c r="S84" s="20" t="str">
        <x:v>Choose List Task</x:v>
      </x:c>
      <x:c r="T84" s="20" t="str">
        <x:v>RootWebArea 'Choose List Task', focused [13] combobox '' value='Saint Martin', hasPopup='menu', expanded=False [20] button 'Submit', clickable, focused</x:v>
      </x:c>
      <x:c r="U84" s="6" t="str">
        <x:v>0</x:v>
      </x:c>
      <x:c r="V84" s="6" t="str">
        <x:v>0</x:v>
      </x:c>
      <x:c r="W84" s="6" t="str">
        <x:v>0</x:v>
      </x:c>
      <x:c r="X84" s="6" t="str">
        <x:v>1</x:v>
      </x:c>
      <x:c r="Y84" s="6" t="str">
        <x:v>0</x:v>
      </x:c>
      <x:c r="Z84" s="6" t="str">
        <x:v>1</x:v>
      </x:c>
      <x:c r="AA84" s="6" t="str">
        <x:v>0.0</x:v>
      </x:c>
      <x:c r="AB84" s="20" t="str">
        <x:v>Codex证据复核v1：原始记录唯一匹配、环境实测、反事实配对ID完整、终止且非成功、奖励非正、队列标签与结果派生规则一致；非人工签字。</x:v>
      </x:c>
    </x:row>
    <x:row r="85" ht="46" customHeight="1">
      <x:c r="A85" s="6" t="str">
        <x:v>1</x:v>
      </x:c>
      <x:c r="B85" s="6" t="str">
        <x:v>c8193110d8cdbdc3393c</x:v>
      </x:c>
      <x:c r="C85" s="6" t="str">
        <x:v>evidence_approved</x:v>
      </x:c>
      <x:c r="D85" s="6" t="str">
        <x:v>codex-evidence-review-v1</x:v>
      </x:c>
      <x:c r="E85" s="22" t="n">
        <x:v>46244.40206471065</x:v>
      </x:c>
      <x:c r="F85" s="6" t="str">
        <x:v>20</x:v>
      </x:c>
      <x:c r="G85" s="20" t="str">
        <x:v>observed_counterfactual;severe_failure;terminal</x:v>
      </x:c>
      <x:c r="H85" s="20" t="str">
        <x:v>browsergym/miniwob.click-dialog-2</x:v>
      </x:c>
      <x:c r="I85" s="6" t="str">
        <x:v>browsergym/miniwob.click-dialog-2</x:v>
      </x:c>
      <x:c r="J85" s="6" t="str">
        <x:v>cf-click-dialog-2-seed1031-hard_wrong_target</x:v>
      </x:c>
      <x:c r="K85" s="6" t="str">
        <x:v>0</x:v>
      </x:c>
      <x:c r="L85" s="20" t="str">
        <x:v>Click the button in the dialog box labeled "Cancel".</x:v>
      </x:c>
      <x:c r="M85" s="20" t="str">
        <x:v>click("28", "left")</x:v>
      </x:c>
      <x:c r="N85" s="6" t="str">
        <x:v>0.0</x:v>
      </x:c>
      <x:c r="O85" s="20" t="str">
        <x:v>file:///root/autodl-tmp/miniwob-plusplus/miniwob/html/miniwob/click-dialog-2.html</x:v>
      </x:c>
      <x:c r="P85" s="20" t="str">
        <x:v>Click Dialog Task</x:v>
      </x:c>
      <x:c r="Q85" s="20" t="str">
        <x:v>RootWebArea 'Click Dialog Task', focused [17] dialog '', clickable, modal=False, describedby='dialog' StaticText '' [20] button 'Close', clickable [24] paragraph '' StaticText 'Iaculis in lacus viverra scelerisque morbi. Phasellus.' [27] button 'Cancel', clickable, focused [28] button 'OK', clickable</x:v>
      </x:c>
      <x:c r="R85" s="20" t="str">
        <x:v>file:///root/autodl-tmp/miniwob-plusplus/miniwob/html/miniwob/click-dialog-2.html</x:v>
      </x:c>
      <x:c r="S85" s="20" t="str">
        <x:v>Click Dialog Task</x:v>
      </x:c>
      <x:c r="T85" s="20" t="str">
        <x:v>RootWebArea 'Click Dialog Task', focused [17] dialog '', clickable, modal=False, describedby='dialog' StaticText '' [20] button 'Close', clickable [24] paragraph '' StaticText 'Iaculis in lacus viverra scelerisque morbi. Phasellus.' [27] button 'Cancel', clickable [28] button 'OK', clickable, focused</x:v>
      </x:c>
      <x:c r="U85" s="6" t="str">
        <x:v>0</x:v>
      </x:c>
      <x:c r="V85" s="6" t="str">
        <x:v>0</x:v>
      </x:c>
      <x:c r="W85" s="6" t="str">
        <x:v>0</x:v>
      </x:c>
      <x:c r="X85" s="6" t="str">
        <x:v>1</x:v>
      </x:c>
      <x:c r="Y85" s="6" t="str">
        <x:v>0</x:v>
      </x:c>
      <x:c r="Z85" s="6" t="str">
        <x:v>1</x:v>
      </x:c>
      <x:c r="AA85" s="6" t="str">
        <x:v>0.0</x:v>
      </x:c>
      <x:c r="AB85" s="20" t="str">
        <x:v>Codex证据复核v1：原始记录唯一匹配、环境实测、反事实配对ID完整、终止且非成功、奖励非正、队列标签与结果派生规则一致；非人工签字。</x:v>
      </x:c>
    </x:row>
    <x:row r="86" ht="46" customHeight="1">
      <x:c r="A86" s="6" t="str">
        <x:v>1</x:v>
      </x:c>
      <x:c r="B86" s="6" t="str">
        <x:v>d1fb5884fcb55aa86a4d</x:v>
      </x:c>
      <x:c r="C86" s="6" t="str">
        <x:v>evidence_approved</x:v>
      </x:c>
      <x:c r="D86" s="6" t="str">
        <x:v>codex-evidence-review-v1</x:v>
      </x:c>
      <x:c r="E86" s="22" t="n">
        <x:v>46244.40206471065</x:v>
      </x:c>
      <x:c r="F86" s="6" t="str">
        <x:v>20</x:v>
      </x:c>
      <x:c r="G86" s="20" t="str">
        <x:v>observed_counterfactual;severe_failure;terminal</x:v>
      </x:c>
      <x:c r="H86" s="20" t="str">
        <x:v>browsergym/miniwob.click-dialog-2</x:v>
      </x:c>
      <x:c r="I86" s="6" t="str">
        <x:v>browsergym/miniwob.click-dialog-2</x:v>
      </x:c>
      <x:c r="J86" s="6" t="str">
        <x:v>cf-click-dialog-2-seed1006-hard_wrong_target</x:v>
      </x:c>
      <x:c r="K86" s="6" t="str">
        <x:v>0</x:v>
      </x:c>
      <x:c r="L86" s="20" t="str">
        <x:v>Click the button in the dialog box labeled "OK".</x:v>
      </x:c>
      <x:c r="M86" s="20" t="str">
        <x:v>click("27", "left")</x:v>
      </x:c>
      <x:c r="N86" s="6" t="str">
        <x:v>0.0</x:v>
      </x:c>
      <x:c r="O86" s="20" t="str">
        <x:v>file:///root/autodl-tmp/miniwob-plusplus/miniwob/html/miniwob/click-dialog-2.html</x:v>
      </x:c>
      <x:c r="P86" s="20" t="str">
        <x:v>Click Dialog Task</x:v>
      </x:c>
      <x:c r="Q86" s="20" t="str">
        <x:v>RootWebArea 'Click Dialog Task', focused [17] dialog '', clickable, modal=False, describedby='dialog' StaticText '' [20] button 'Close', clickable [24] paragraph '' StaticText 'In nunc,. Eget. Sed.' [27] button 'Cancel', clickable, focused [28] button 'OK', clickable</x:v>
      </x:c>
      <x:c r="R86" s="20" t="str">
        <x:v>file:///root/autodl-tmp/miniwob-plusplus/miniwob/html/miniwob/click-dialog-2.html</x:v>
      </x:c>
      <x:c r="S86" s="20" t="str">
        <x:v>Click Dialog Task</x:v>
      </x:c>
      <x:c r="T86" s="20" t="str">
        <x:v>RootWebArea 'Click Dialog Task', focused [17] dialog '', clickable, modal=False, describedby='dialog' StaticText '' [20] button 'Close', clickable [24] paragraph '' StaticText 'In nunc,. Eget. Sed.' [27] button 'Cancel', clickable, focused [28] button 'OK', clickable</x:v>
      </x:c>
      <x:c r="U86" s="6" t="str">
        <x:v>0</x:v>
      </x:c>
      <x:c r="V86" s="6" t="str">
        <x:v>0</x:v>
      </x:c>
      <x:c r="W86" s="6" t="str">
        <x:v>0</x:v>
      </x:c>
      <x:c r="X86" s="6" t="str">
        <x:v>1</x:v>
      </x:c>
      <x:c r="Y86" s="6" t="str">
        <x:v>0</x:v>
      </x:c>
      <x:c r="Z86" s="6" t="str">
        <x:v>1</x:v>
      </x:c>
      <x:c r="AA86" s="6" t="str">
        <x:v>0.0</x:v>
      </x:c>
      <x:c r="AB86" s="20" t="str">
        <x:v>Codex证据复核v1：原始记录唯一匹配、环境实测、反事实配对ID完整、终止且非成功、奖励非正、队列标签与结果派生规则一致；非人工签字。</x:v>
      </x:c>
    </x:row>
    <x:row r="87" ht="46" customHeight="1">
      <x:c r="A87" s="6" t="str">
        <x:v>1</x:v>
      </x:c>
      <x:c r="B87" s="6" t="str">
        <x:v>507a3df3a5588e379eab</x:v>
      </x:c>
      <x:c r="C87" s="6" t="str">
        <x:v>evidence_approved</x:v>
      </x:c>
      <x:c r="D87" s="6" t="str">
        <x:v>codex-evidence-review-v1</x:v>
      </x:c>
      <x:c r="E87" s="22" t="n">
        <x:v>46244.40206471065</x:v>
      </x:c>
      <x:c r="F87" s="6" t="str">
        <x:v>20</x:v>
      </x:c>
      <x:c r="G87" s="20" t="str">
        <x:v>observed_counterfactual;severe_failure;terminal</x:v>
      </x:c>
      <x:c r="H87" s="20" t="str">
        <x:v>browsergym/miniwob.choose-list</x:v>
      </x:c>
      <x:c r="I87" s="6" t="str">
        <x:v>browsergym/miniwob.choose-list</x:v>
      </x:c>
      <x:c r="J87" s="6" t="str">
        <x:v>cf-choose-list-seed1012-wrong_action_type</x:v>
      </x:c>
      <x:c r="K87" s="6" t="str">
        <x:v>0</x:v>
      </x:c>
      <x:c r="L87" s="20" t="str">
        <x:v>Select Kristin from the list and click Submit.</x:v>
      </x:c>
      <x:c r="M87" s="20" t="str">
        <x:v>click("20", "left")</x:v>
      </x:c>
      <x:c r="N87" s="6" t="str">
        <x:v>0.0</x:v>
      </x:c>
      <x:c r="O87" s="20" t="str">
        <x:v>file:///root/autodl-tmp/miniwob-plusplus/miniwob/html/miniwob/choose-list.html</x:v>
      </x:c>
      <x:c r="P87" s="20" t="str">
        <x:v>Choose List Task</x:v>
      </x:c>
      <x:c r="Q87" s="20" t="str">
        <x:v>RootWebArea 'Choose List Task', focused [13] combobox '' value='Donni', hasPopup='menu', expanded=False [20] button 'Submit', clickable</x:v>
      </x:c>
      <x:c r="R87" s="20" t="str">
        <x:v>file:///root/autodl-tmp/miniwob-plusplus/miniwob/html/miniwob/choose-list.html</x:v>
      </x:c>
      <x:c r="S87" s="20" t="str">
        <x:v>Choose List Task</x:v>
      </x:c>
      <x:c r="T87" s="20" t="str">
        <x:v>RootWebArea 'Choose List Task', focused [13] combobox '' value='Donni', hasPopup='menu', expanded=False [20] button 'Submit', clickable, focused</x:v>
      </x:c>
      <x:c r="U87" s="6" t="str">
        <x:v>0</x:v>
      </x:c>
      <x:c r="V87" s="6" t="str">
        <x:v>0</x:v>
      </x:c>
      <x:c r="W87" s="6" t="str">
        <x:v>0</x:v>
      </x:c>
      <x:c r="X87" s="6" t="str">
        <x:v>1</x:v>
      </x:c>
      <x:c r="Y87" s="6" t="str">
        <x:v>0</x:v>
      </x:c>
      <x:c r="Z87" s="6" t="str">
        <x:v>1</x:v>
      </x:c>
      <x:c r="AA87" s="6" t="str">
        <x:v>0.0</x:v>
      </x:c>
      <x:c r="AB87" s="20" t="str">
        <x:v>Codex证据复核v1：原始记录唯一匹配、环境实测、反事实配对ID完整、终止且非成功、奖励非正、队列标签与结果派生规则一致；非人工签字。</x:v>
      </x:c>
    </x:row>
    <x:row r="88" ht="46" customHeight="1">
      <x:c r="A88" s="6" t="str">
        <x:v>1</x:v>
      </x:c>
      <x:c r="B88" s="6" t="str">
        <x:v>65cd613d63a105427731</x:v>
      </x:c>
      <x:c r="C88" s="6" t="str">
        <x:v>evidence_approved</x:v>
      </x:c>
      <x:c r="D88" s="6" t="str">
        <x:v>codex-evidence-review-v1</x:v>
      </x:c>
      <x:c r="E88" s="22" t="n">
        <x:v>46244.40206471065</x:v>
      </x:c>
      <x:c r="F88" s="6" t="str">
        <x:v>20</x:v>
      </x:c>
      <x:c r="G88" s="20" t="str">
        <x:v>observed_counterfactual;severe_failure;terminal</x:v>
      </x:c>
      <x:c r="H88" s="20" t="str">
        <x:v>browsergym/miniwob.login-user</x:v>
      </x:c>
      <x:c r="I88" s="6" t="str">
        <x:v>browsergym/miniwob.login-user</x:v>
      </x:c>
      <x:c r="J88" s="6" t="str">
        <x:v>cf-login-user-seed1035-hard_wrong_target</x:v>
      </x:c>
      <x:c r="K88" s="6" t="str">
        <x:v>0</x:v>
      </x:c>
      <x:c r="L88" s="20" t="str">
        <x:v>Enter the username "agustina" and the password "Pq0" into the text fields and press login.</x:v>
      </x:c>
      <x:c r="M88" s="20" t="str">
        <x:v>click("20", "left")</x:v>
      </x:c>
      <x:c r="N88" s="6" t="str">
        <x:v>0.0</x:v>
      </x:c>
      <x:c r="O88" s="20" t="str">
        <x:v>file:///root/autodl-tmp/miniwob-plusplus/miniwob/html/miniwob/login-user.html</x:v>
      </x:c>
      <x:c r="P88" s="20" t="str">
        <x:v>Login User Task</x:v>
      </x:c>
      <x:c r="Q88" s="20" t="str">
        <x:v>RootWebArea 'Login User Task', focused [14] paragraph '' [15] LabelText '' StaticText 'Username' [16] textbox '', clickable [17] paragraph '' [18] LabelText '' StaticText 'Password' [19] textbox '', clickable [20] button 'Login', clickable</x:v>
      </x:c>
      <x:c r="R88" s="20" t="str">
        <x:v>file:///root/autodl-tmp/miniwob-plusplus/miniwob/html/miniwob/login-user.html</x:v>
      </x:c>
      <x:c r="S88" s="20" t="str">
        <x:v>Login User Task</x:v>
      </x:c>
      <x:c r="T88" s="20" t="str">
        <x:v>RootWebArea 'Login User Task', focused [14] paragraph '' [15] LabelText '' StaticText 'Username' [16] textbox '', clickable [17] paragraph '' [18] LabelText '' StaticText 'Password' [19] textbox '', clickable [20] button 'Login', clickable, focused</x:v>
      </x:c>
      <x:c r="U88" s="6" t="str">
        <x:v>0</x:v>
      </x:c>
      <x:c r="V88" s="6" t="str">
        <x:v>0</x:v>
      </x:c>
      <x:c r="W88" s="6" t="str">
        <x:v>0</x:v>
      </x:c>
      <x:c r="X88" s="6" t="str">
        <x:v>1</x:v>
      </x:c>
      <x:c r="Y88" s="6" t="str">
        <x:v>0</x:v>
      </x:c>
      <x:c r="Z88" s="6" t="str">
        <x:v>1</x:v>
      </x:c>
      <x:c r="AA88" s="6" t="str">
        <x:v>0.0</x:v>
      </x:c>
      <x:c r="AB88" s="20" t="str">
        <x:v>Codex证据复核v1：原始记录唯一匹配、环境实测、反事实配对ID完整、终止且非成功、奖励非正、队列标签与结果派生规则一致；非人工签字。</x:v>
      </x:c>
    </x:row>
    <x:row r="89" ht="46" customHeight="1">
      <x:c r="A89" s="6" t="str">
        <x:v>1</x:v>
      </x:c>
      <x:c r="B89" s="6" t="str">
        <x:v>0a7af76ef3dfdeb43022</x:v>
      </x:c>
      <x:c r="C89" s="6" t="str">
        <x:v>evidence_approved</x:v>
      </x:c>
      <x:c r="D89" s="6" t="str">
        <x:v>codex-evidence-review-v1</x:v>
      </x:c>
      <x:c r="E89" s="22" t="n">
        <x:v>46244.40206471065</x:v>
      </x:c>
      <x:c r="F89" s="6" t="str">
        <x:v>20</x:v>
      </x:c>
      <x:c r="G89" s="20" t="str">
        <x:v>observed_counterfactual;severe_failure;terminal</x:v>
      </x:c>
      <x:c r="H89" s="20" t="str">
        <x:v>browsergym/miniwob.enter-text</x:v>
      </x:c>
      <x:c r="I89" s="6" t="str">
        <x:v>browsergym/miniwob.enter-text</x:v>
      </x:c>
      <x:c r="J89" s="6" t="str">
        <x:v>cf-enter-text-seed1004-hard_wrong_target</x:v>
      </x:c>
      <x:c r="K89" s="6" t="str">
        <x:v>0</x:v>
      </x:c>
      <x:c r="L89" s="20" t="str">
        <x:v>Enter "Alan" into the text field and press Submit.</x:v>
      </x:c>
      <x:c r="M89" s="20" t="str">
        <x:v>click("15", "left")</x:v>
      </x:c>
      <x:c r="N89" s="6" t="str">
        <x:v>0.0</x:v>
      </x:c>
      <x:c r="O89" s="20" t="str">
        <x:v>file:///root/autodl-tmp/miniwob-plusplus/miniwob/html/miniwob/enter-text.html</x:v>
      </x:c>
      <x:c r="P89" s="20" t="str">
        <x:v>Enter Text Task</x:v>
      </x:c>
      <x:c r="Q89" s="20" t="str">
        <x:v>RootWebArea 'Enter Text Task', focused [14] textbox '', clickable [15] button 'Submit', clickable</x:v>
      </x:c>
      <x:c r="R89" s="20" t="str">
        <x:v>file:///root/autodl-tmp/miniwob-plusplus/miniwob/html/miniwob/enter-text.html</x:v>
      </x:c>
      <x:c r="S89" s="20" t="str">
        <x:v>Enter Text Task</x:v>
      </x:c>
      <x:c r="T89" s="20" t="str">
        <x:v>RootWebArea 'Enter Text Task', focused [14] textbox '', clickable [15] button 'Submit', clickable, focused</x:v>
      </x:c>
      <x:c r="U89" s="6" t="str">
        <x:v>0</x:v>
      </x:c>
      <x:c r="V89" s="6" t="str">
        <x:v>0</x:v>
      </x:c>
      <x:c r="W89" s="6" t="str">
        <x:v>0</x:v>
      </x:c>
      <x:c r="X89" s="6" t="str">
        <x:v>1</x:v>
      </x:c>
      <x:c r="Y89" s="6" t="str">
        <x:v>0</x:v>
      </x:c>
      <x:c r="Z89" s="6" t="str">
        <x:v>1</x:v>
      </x:c>
      <x:c r="AA89" s="6" t="str">
        <x:v>0.0</x:v>
      </x:c>
      <x:c r="AB89" s="20" t="str">
        <x:v>Codex证据复核v1：原始记录唯一匹配、环境实测、反事实配对ID完整、终止且非成功、奖励非正、队列标签与结果派生规则一致；非人工签字。</x:v>
      </x:c>
    </x:row>
    <x:row r="90" ht="46" customHeight="1">
      <x:c r="A90" s="6" t="str">
        <x:v>1</x:v>
      </x:c>
      <x:c r="B90" s="6" t="str">
        <x:v>4b4b0a7a084f9c1636dc</x:v>
      </x:c>
      <x:c r="C90" s="6" t="str">
        <x:v>evidence_approved</x:v>
      </x:c>
      <x:c r="D90" s="6" t="str">
        <x:v>codex-evidence-review-v1</x:v>
      </x:c>
      <x:c r="E90" s="22" t="n">
        <x:v>46244.40206471065</x:v>
      </x:c>
      <x:c r="F90" s="6" t="str">
        <x:v>20</x:v>
      </x:c>
      <x:c r="G90" s="20" t="str">
        <x:v>observed_counterfactual;severe_failure;terminal</x:v>
      </x:c>
      <x:c r="H90" s="20" t="str">
        <x:v>browsergym/miniwob.enter-text</x:v>
      </x:c>
      <x:c r="I90" s="6" t="str">
        <x:v>browsergym/miniwob.enter-text</x:v>
      </x:c>
      <x:c r="J90" s="6" t="str">
        <x:v>cf-enter-text-seed1021-hard_wrong_target</x:v>
      </x:c>
      <x:c r="K90" s="6" t="str">
        <x:v>0</x:v>
      </x:c>
      <x:c r="L90" s="20" t="str">
        <x:v>Enter "Beaulah" into the text field and press Submit.</x:v>
      </x:c>
      <x:c r="M90" s="20" t="str">
        <x:v>click("15", "left")</x:v>
      </x:c>
      <x:c r="N90" s="6" t="str">
        <x:v>0.0</x:v>
      </x:c>
      <x:c r="O90" s="20" t="str">
        <x:v>file:///root/autodl-tmp/miniwob-plusplus/miniwob/html/miniwob/enter-text.html</x:v>
      </x:c>
      <x:c r="P90" s="20" t="str">
        <x:v>Enter Text Task</x:v>
      </x:c>
      <x:c r="Q90" s="20" t="str">
        <x:v>RootWebArea 'Enter Text Task', focused [14] textbox '', clickable [15] button 'Submit', clickable</x:v>
      </x:c>
      <x:c r="R90" s="20" t="str">
        <x:v>file:///root/autodl-tmp/miniwob-plusplus/miniwob/html/miniwob/enter-text.html</x:v>
      </x:c>
      <x:c r="S90" s="20" t="str">
        <x:v>Enter Text Task</x:v>
      </x:c>
      <x:c r="T90" s="20" t="str">
        <x:v>RootWebArea 'Enter Text Task', focused [14] textbox '', clickable [15] button 'Submit', clickable, focused</x:v>
      </x:c>
      <x:c r="U90" s="6" t="str">
        <x:v>0</x:v>
      </x:c>
      <x:c r="V90" s="6" t="str">
        <x:v>0</x:v>
      </x:c>
      <x:c r="W90" s="6" t="str">
        <x:v>0</x:v>
      </x:c>
      <x:c r="X90" s="6" t="str">
        <x:v>1</x:v>
      </x:c>
      <x:c r="Y90" s="6" t="str">
        <x:v>0</x:v>
      </x:c>
      <x:c r="Z90" s="6" t="str">
        <x:v>1</x:v>
      </x:c>
      <x:c r="AA90" s="6" t="str">
        <x:v>0.0</x:v>
      </x:c>
      <x:c r="AB90" s="20" t="str">
        <x:v>Codex证据复核v1：原始记录唯一匹配、环境实测、反事实配对ID完整、终止且非成功、奖励非正、队列标签与结果派生规则一致；非人工签字。</x:v>
      </x:c>
    </x:row>
    <x:row r="91" ht="46" customHeight="1">
      <x:c r="A91" s="6" t="str">
        <x:v>1</x:v>
      </x:c>
      <x:c r="B91" s="6" t="str">
        <x:v>e012de9b2e621a950e87</x:v>
      </x:c>
      <x:c r="C91" s="6" t="str">
        <x:v>evidence_approved</x:v>
      </x:c>
      <x:c r="D91" s="6" t="str">
        <x:v>codex-evidence-review-v1</x:v>
      </x:c>
      <x:c r="E91" s="22" t="n">
        <x:v>46244.40206471065</x:v>
      </x:c>
      <x:c r="F91" s="6" t="str">
        <x:v>20</x:v>
      </x:c>
      <x:c r="G91" s="20" t="str">
        <x:v>observed_counterfactual;severe_failure;terminal</x:v>
      </x:c>
      <x:c r="H91" s="20" t="str">
        <x:v>browsergym/miniwob.click-menu</x:v>
      </x:c>
      <x:c r="I91" s="6" t="str">
        <x:v>browsergym/miniwob.click-menu</x:v>
      </x:c>
      <x:c r="J91" s="6" t="str">
        <x:v>cf-click-menu-seed1000-hard_wrong_target</x:v>
      </x:c>
      <x:c r="K91" s="6" t="str">
        <x:v>0</x:v>
      </x:c>
      <x:c r="L91" s="20" t="str">
        <x:v>Select Oralie</x:v>
      </x:c>
      <x:c r="M91" s="20" t="str">
        <x:v>click("19", "left")</x:v>
      </x:c>
      <x:c r="N91" s="6" t="str">
        <x:v>0.0</x:v>
      </x:c>
      <x:c r="O91" s="20" t="str">
        <x:v>file:///root/autodl-tmp/miniwob-plusplus/miniwob/html/miniwob/click-menu.html</x:v>
      </x:c>
      <x:c r="P91" s="20" t="str">
        <x:v>Click Menu Task</x:v>
      </x:c>
      <x:c r="Q91" s="20" t="str">
        <x:v>RootWebArea 'Click Menu Task', focused [17] menu '', clickable, orientation='vertical' image '' [19] menuitem 'Nanon' image '' [21] menuitem 'Oralie' image '' [23] menuitem 'Ella'</x:v>
      </x:c>
      <x:c r="R91" s="20" t="str">
        <x:v>file:///root/autodl-tmp/miniwob-plusplus/miniwob/html/miniwob/click-menu.html</x:v>
      </x:c>
      <x:c r="S91" s="20" t="str">
        <x:v>Click Menu Task</x:v>
      </x:c>
      <x:c r="T91" s="20" t="str">
        <x:v>RootWebArea 'Click Menu Task', focused [17] menu '', clickable, orientation='vertical' image '' [19] menuitem 'Nanon' image '' [21] menuitem 'Oralie' image '' [23] menuitem 'Ella'</x:v>
      </x:c>
      <x:c r="U91" s="6" t="str">
        <x:v>0</x:v>
      </x:c>
      <x:c r="V91" s="6" t="str">
        <x:v>0</x:v>
      </x:c>
      <x:c r="W91" s="6" t="str">
        <x:v>0</x:v>
      </x:c>
      <x:c r="X91" s="6" t="str">
        <x:v>1</x:v>
      </x:c>
      <x:c r="Y91" s="6" t="str">
        <x:v>0</x:v>
      </x:c>
      <x:c r="Z91" s="6" t="str">
        <x:v>1</x:v>
      </x:c>
      <x:c r="AA91" s="6" t="str">
        <x:v>0.0</x:v>
      </x:c>
      <x:c r="AB91" s="20" t="str">
        <x:v>Codex证据复核v1：原始记录唯一匹配、环境实测、反事实配对ID完整、终止且非成功、奖励非正、队列标签与结果派生规则一致；非人工签字。</x:v>
      </x:c>
    </x:row>
    <x:row r="92" ht="46" customHeight="1">
      <x:c r="A92" s="6" t="str">
        <x:v>1</x:v>
      </x:c>
      <x:c r="B92" s="6" t="str">
        <x:v>eac3aa9ab8c2c1613fd2</x:v>
      </x:c>
      <x:c r="C92" s="6" t="str">
        <x:v>evidence_approved</x:v>
      </x:c>
      <x:c r="D92" s="6" t="str">
        <x:v>codex-evidence-review-v1</x:v>
      </x:c>
      <x:c r="E92" s="22" t="n">
        <x:v>46244.40206471065</x:v>
      </x:c>
      <x:c r="F92" s="6" t="str">
        <x:v>20</x:v>
      </x:c>
      <x:c r="G92" s="20" t="str">
        <x:v>observed_counterfactual;severe_failure;terminal</x:v>
      </x:c>
      <x:c r="H92" s="20" t="str">
        <x:v>browsergym/miniwob.enter-password</x:v>
      </x:c>
      <x:c r="I92" s="6" t="str">
        <x:v>browsergym/miniwob.enter-password</x:v>
      </x:c>
      <x:c r="J92" s="6" t="str">
        <x:v>cf-enter-password-seed1013-hard_wrong_target</x:v>
      </x:c>
      <x:c r="K92" s="6" t="str">
        <x:v>0</x:v>
      </x:c>
      <x:c r="L92" s="20" t="str">
        <x:v>Enter the password "lqpYz" into both text fields and press submit.</x:v>
      </x:c>
      <x:c r="M92" s="20" t="str">
        <x:v>click("20", "left")</x:v>
      </x:c>
      <x:c r="N92" s="6" t="str">
        <x:v>0.0</x:v>
      </x:c>
      <x:c r="O92" s="20" t="str">
        <x:v>file:///root/autodl-tmp/miniwob-plusplus/miniwob/html/miniwob/enter-password.html</x:v>
      </x:c>
      <x:c r="P92" s="20" t="str">
        <x:v>Enter Password Task</x:v>
      </x:c>
      <x:c r="Q92" s="20" t="str">
        <x:v>RootWebArea 'Enter Password Task', focused [14] paragraph '' [15] LabelText '' StaticText 'Password' [16] textbox '', clickable [17] paragraph '' [18] LabelText '' StaticText 'Verify password' [19] textbox '', clickable [20] button 'Submit', clickable</x:v>
      </x:c>
      <x:c r="R92" s="20" t="str">
        <x:v>file:///root/autodl-tmp/miniwob-plusplus/miniwob/html/miniwob/enter-password.html</x:v>
      </x:c>
      <x:c r="S92" s="20" t="str">
        <x:v>Enter Password Task</x:v>
      </x:c>
      <x:c r="T92" s="20" t="str">
        <x:v>RootWebArea 'Enter Password Task', focused [14] paragraph '' [15] LabelText '' StaticText 'Password' [16] textbox '', clickable [17] paragraph '' [18] LabelText '' StaticText 'Verify password' [19] textbox '', clickable [20] button 'Submit', clickable, focused</x:v>
      </x:c>
      <x:c r="U92" s="6" t="str">
        <x:v>0</x:v>
      </x:c>
      <x:c r="V92" s="6" t="str">
        <x:v>0</x:v>
      </x:c>
      <x:c r="W92" s="6" t="str">
        <x:v>0</x:v>
      </x:c>
      <x:c r="X92" s="6" t="str">
        <x:v>1</x:v>
      </x:c>
      <x:c r="Y92" s="6" t="str">
        <x:v>0</x:v>
      </x:c>
      <x:c r="Z92" s="6" t="str">
        <x:v>1</x:v>
      </x:c>
      <x:c r="AA92" s="6" t="str">
        <x:v>0.0</x:v>
      </x:c>
      <x:c r="AB92" s="20" t="str">
        <x:v>Codex证据复核v1：原始记录唯一匹配、环境实测、反事实配对ID完整、终止且非成功、奖励非正、队列标签与结果派生规则一致；非人工签字。</x:v>
      </x:c>
    </x:row>
    <x:row r="93" ht="46" customHeight="1">
      <x:c r="A93" s="6" t="str">
        <x:v>1</x:v>
      </x:c>
      <x:c r="B93" s="6" t="str">
        <x:v>e50edc48ad67ccb678c0</x:v>
      </x:c>
      <x:c r="C93" s="6" t="str">
        <x:v>evidence_approved</x:v>
      </x:c>
      <x:c r="D93" s="6" t="str">
        <x:v>codex-evidence-review-v1</x:v>
      </x:c>
      <x:c r="E93" s="22" t="n">
        <x:v>46244.40206471065</x:v>
      </x:c>
      <x:c r="F93" s="6" t="str">
        <x:v>20</x:v>
      </x:c>
      <x:c r="G93" s="20" t="str">
        <x:v>observed_counterfactual;severe_failure;terminal</x:v>
      </x:c>
      <x:c r="H93" s="20" t="str">
        <x:v>browsergym/miniwob.scroll-text</x:v>
      </x:c>
      <x:c r="I93" s="6" t="str">
        <x:v>browsergym/miniwob.scroll-text</x:v>
      </x:c>
      <x:c r="J93" s="6" t="str">
        <x:v>cf-scroll-text-seed1006-hard_wrong_target</x:v>
      </x:c>
      <x:c r="K93" s="6" t="str">
        <x:v>0</x:v>
      </x:c>
      <x:c r="L93" s="20" t="str">
        <x:v>Find the last word in the text area, enter it into the text field and hit Submit.</x:v>
      </x:c>
      <x:c r="M93" s="20" t="str">
        <x:v>click("15", "left")</x:v>
      </x:c>
      <x:c r="N93" s="6" t="str">
        <x:v>0.0</x:v>
      </x:c>
      <x:c r="O93" s="20" t="str">
        <x:v>file:///root/autodl-tmp/miniwob-plusplus/miniwob/html/miniwob/scroll-text.html</x:v>
      </x:c>
      <x:c r="P93" s="20" t="str">
        <x:v>Scroll Text Task</x:v>
      </x:c>
      <x:c r="Q93" s="20" t="str">
        <x:v>RootWebArea 'Scroll Text Task', focused [13] textbox '' value='In nunc,. Eget. Sed massa fames. Bibendum faucibus egestas nulla pulvinar. Sem ac suspendisse at at leo tincidunt libero eget integer lorem sit ullamcorper diam. Metus,. Sit neque,. Facilisis in viverra mauris. Amet, dolor sit lacus egestas diam. Quam odio et vel platea sed ut.' StaticText 'In nunc,. Eget. Sed massa fames. Bibendum faucibus egestas nulla pulvinar. Sem ac suspendisse at at leo tincidunt libero eget integer lorem sit ullamcorper diam. Metus,. Sit neque,. Facilisis in viverra mauris. Amet, dolor sit lacus egestas diam. Quam odio et vel platea sed ut.' [14] textbox '', clickable [15] button 'Submit', clickable</x:v>
      </x:c>
      <x:c r="R93" s="20" t="str">
        <x:v>file:///root/autodl-tmp/miniwob-plusplus/miniwob/html/miniwob/scroll-text.html</x:v>
      </x:c>
      <x:c r="S93" s="20" t="str">
        <x:v>Scroll Text Task</x:v>
      </x:c>
      <x:c r="T93" s="20" t="str">
        <x:v>RootWebArea 'Scroll Text Task', focused [13] textbox '' value='In nunc,. Eget. Sed massa fames. Bibendum faucibus egestas nulla pulvinar. Sem ac suspendisse at at leo tincidunt libero eget integer lorem sit ullamcorper diam. Metus,. Sit neque,. Facilisis in viverra mauris. Amet, dolor sit lacus egestas diam. Quam odio et vel platea sed ut.' StaticText 'In nunc,. Eget. Sed massa fames. Bibendum faucibus egestas nulla pulvinar. Sem ac suspendisse at at leo tincidunt libero eget integer lorem sit ullamcorper diam. Metus,. Sit neque,. Facilisis in viverra mauris. Amet, dolor sit lacus egestas diam. Quam odio et vel platea sed ut.' [14] textbox '', clickable [15] button 'Submit', clickable, focused</x:v>
      </x:c>
      <x:c r="U93" s="6" t="str">
        <x:v>0</x:v>
      </x:c>
      <x:c r="V93" s="6" t="str">
        <x:v>0</x:v>
      </x:c>
      <x:c r="W93" s="6" t="str">
        <x:v>0</x:v>
      </x:c>
      <x:c r="X93" s="6" t="str">
        <x:v>1</x:v>
      </x:c>
      <x:c r="Y93" s="6" t="str">
        <x:v>0</x:v>
      </x:c>
      <x:c r="Z93" s="6" t="str">
        <x:v>1</x:v>
      </x:c>
      <x:c r="AA93" s="6" t="str">
        <x:v>0.0</x:v>
      </x:c>
      <x:c r="AB93" s="20" t="str">
        <x:v>Codex证据复核v1：原始记录唯一匹配、环境实测、反事实配对ID完整、终止且非成功、奖励非正、队列标签与结果派生规则一致；非人工签字。</x:v>
      </x:c>
    </x:row>
    <x:row r="94" ht="46" customHeight="1">
      <x:c r="A94" s="6" t="str">
        <x:v>1</x:v>
      </x:c>
      <x:c r="B94" s="6" t="str">
        <x:v>517aae20762cd2c5d4ac</x:v>
      </x:c>
      <x:c r="C94" s="6" t="str">
        <x:v>evidence_approved</x:v>
      </x:c>
      <x:c r="D94" s="6" t="str">
        <x:v>codex-evidence-review-v1</x:v>
      </x:c>
      <x:c r="E94" s="22" t="n">
        <x:v>46244.40206471065</x:v>
      </x:c>
      <x:c r="F94" s="6" t="str">
        <x:v>20</x:v>
      </x:c>
      <x:c r="G94" s="20" t="str">
        <x:v>observed_counterfactual;severe_failure;terminal</x:v>
      </x:c>
      <x:c r="H94" s="20" t="str">
        <x:v>browsergym/miniwob.click-collapsible</x:v>
      </x:c>
      <x:c r="I94" s="6" t="str">
        <x:v>browsergym/miniwob.click-collapsible</x:v>
      </x:c>
      <x:c r="J94" s="6" t="str">
        <x:v>cf-click-collapsible-seed1031-hard_wrong_target</x:v>
      </x:c>
      <x:c r="K94" s="6" t="str">
        <x:v>0</x:v>
      </x:c>
      <x:c r="L94" s="20" t="str">
        <x:v>Expand the section below and click submit.</x:v>
      </x:c>
      <x:c r="M94" s="20" t="str">
        <x:v>click("19", "left")</x:v>
      </x:c>
      <x:c r="N94" s="6" t="str">
        <x:v>0.0</x:v>
      </x:c>
      <x:c r="O94" s="20" t="str">
        <x:v>file:///root/autodl-tmp/miniwob-plusplus/miniwob/html/miniwob/click-collapsible.html</x:v>
      </x:c>
      <x:c r="P94" s="20" t="str">
        <x:v>Click Collapsible Task</x:v>
      </x:c>
      <x:c r="Q94" s="20" t="str">
        <x:v>RootWebArea 'Click Collapsible Task', focused [15] tablist '', multiselectable=False, orientation='horizontal' [16] tab 'Section #39', clickable, expanded=False, selected=False, controls='ui-id-2' [19] tab 'Submit', clickable, expanded=False, selected=False [22] button 'Submit', clickable</x:v>
      </x:c>
      <x:c r="R94" s="20" t="str">
        <x:v>file:///root/autodl-tmp/miniwob-plusplus/miniwob/html/miniwob/click-collapsible.html</x:v>
      </x:c>
      <x:c r="S94" s="20" t="str">
        <x:v>Click Collapsible Task</x:v>
      </x:c>
      <x:c r="T94" s="20" t="str">
        <x:v>RootWebArea 'Click Collapsible Task', focused [15] tablist '', multiselectable=False, orientation='horizontal' [16] tab 'Section #39', clickable, expanded=False, selected=False, controls='ui-id-2' [19] tab 'Submit', clickable, expanded=False, selected=False [22] button 'Submit', clickable, focused</x:v>
      </x:c>
      <x:c r="U94" s="6" t="str">
        <x:v>0</x:v>
      </x:c>
      <x:c r="V94" s="6" t="str">
        <x:v>0</x:v>
      </x:c>
      <x:c r="W94" s="6" t="str">
        <x:v>0</x:v>
      </x:c>
      <x:c r="X94" s="6" t="str">
        <x:v>1</x:v>
      </x:c>
      <x:c r="Y94" s="6" t="str">
        <x:v>0</x:v>
      </x:c>
      <x:c r="Z94" s="6" t="str">
        <x:v>1</x:v>
      </x:c>
      <x:c r="AA94" s="6" t="str">
        <x:v>0.0</x:v>
      </x:c>
      <x:c r="AB94" s="20" t="str">
        <x:v>Codex证据复核v1：原始记录唯一匹配、环境实测、反事实配对ID完整、终止且非成功、奖励非正、队列标签与结果派生规则一致；非人工签字。</x:v>
      </x:c>
    </x:row>
    <x:row r="95" ht="46" customHeight="1">
      <x:c r="A95" s="6" t="str">
        <x:v>1</x:v>
      </x:c>
      <x:c r="B95" s="6" t="str">
        <x:v>2df2a1b9ae99f8b2b2fd</x:v>
      </x:c>
      <x:c r="C95" s="6" t="str">
        <x:v>evidence_approved</x:v>
      </x:c>
      <x:c r="D95" s="6" t="str">
        <x:v>codex-evidence-review-v1</x:v>
      </x:c>
      <x:c r="E95" s="22" t="n">
        <x:v>46244.40206471065</x:v>
      </x:c>
      <x:c r="F95" s="6" t="str">
        <x:v>20</x:v>
      </x:c>
      <x:c r="G95" s="20" t="str">
        <x:v>observed_counterfactual;severe_failure;terminal</x:v>
      </x:c>
      <x:c r="H95" s="20" t="str">
        <x:v>browsergym/miniwob.enter-text</x:v>
      </x:c>
      <x:c r="I95" s="6" t="str">
        <x:v>browsergym/miniwob.enter-text</x:v>
      </x:c>
      <x:c r="J95" s="6" t="str">
        <x:v>cf-enter-text-seed1014-hard_wrong_target</x:v>
      </x:c>
      <x:c r="K95" s="6" t="str">
        <x:v>0</x:v>
      </x:c>
      <x:c r="L95" s="20" t="str">
        <x:v>Enter "Joye" into the text field and press Submit.</x:v>
      </x:c>
      <x:c r="M95" s="20" t="str">
        <x:v>click("15", "left")</x:v>
      </x:c>
      <x:c r="N95" s="6" t="str">
        <x:v>0.0</x:v>
      </x:c>
      <x:c r="O95" s="20" t="str">
        <x:v>file:///root/autodl-tmp/miniwob-plusplus/miniwob/html/miniwob/enter-text.html</x:v>
      </x:c>
      <x:c r="P95" s="20" t="str">
        <x:v>Enter Text Task</x:v>
      </x:c>
      <x:c r="Q95" s="20" t="str">
        <x:v>RootWebArea 'Enter Text Task', focused [14] textbox '', clickable [15] button 'Submit', clickable</x:v>
      </x:c>
      <x:c r="R95" s="20" t="str">
        <x:v>file:///root/autodl-tmp/miniwob-plusplus/miniwob/html/miniwob/enter-text.html</x:v>
      </x:c>
      <x:c r="S95" s="20" t="str">
        <x:v>Enter Text Task</x:v>
      </x:c>
      <x:c r="T95" s="20" t="str">
        <x:v>RootWebArea 'Enter Text Task', focused [14] textbox '', clickable [15] button 'Submit', clickable, focused</x:v>
      </x:c>
      <x:c r="U95" s="6" t="str">
        <x:v>0</x:v>
      </x:c>
      <x:c r="V95" s="6" t="str">
        <x:v>0</x:v>
      </x:c>
      <x:c r="W95" s="6" t="str">
        <x:v>0</x:v>
      </x:c>
      <x:c r="X95" s="6" t="str">
        <x:v>1</x:v>
      </x:c>
      <x:c r="Y95" s="6" t="str">
        <x:v>0</x:v>
      </x:c>
      <x:c r="Z95" s="6" t="str">
        <x:v>1</x:v>
      </x:c>
      <x:c r="AA95" s="6" t="str">
        <x:v>0.0</x:v>
      </x:c>
      <x:c r="AB95" s="20" t="str">
        <x:v>Codex证据复核v1：原始记录唯一匹配、环境实测、反事实配对ID完整、终止且非成功、奖励非正、队列标签与结果派生规则一致；非人工签字。</x:v>
      </x:c>
    </x:row>
    <x:row r="96" ht="46" customHeight="1">
      <x:c r="A96" s="6" t="str">
        <x:v>1</x:v>
      </x:c>
      <x:c r="B96" s="6" t="str">
        <x:v>f8469cb5b6fad50fea77</x:v>
      </x:c>
      <x:c r="C96" s="6" t="str">
        <x:v>evidence_approved</x:v>
      </x:c>
      <x:c r="D96" s="6" t="str">
        <x:v>codex-evidence-review-v1</x:v>
      </x:c>
      <x:c r="E96" s="22" t="n">
        <x:v>46244.40206471065</x:v>
      </x:c>
      <x:c r="F96" s="6" t="str">
        <x:v>20</x:v>
      </x:c>
      <x:c r="G96" s="20" t="str">
        <x:v>observed_counterfactual;severe_failure;terminal</x:v>
      </x:c>
      <x:c r="H96" s="20" t="str">
        <x:v>browsergym/miniwob.click-tab</x:v>
      </x:c>
      <x:c r="I96" s="6" t="str">
        <x:v>browsergym/miniwob.click-tab</x:v>
      </x:c>
      <x:c r="J96" s="6" t="str">
        <x:v>cf-click-tab-seed1033-hard_wrong_target</x:v>
      </x:c>
      <x:c r="K96" s="6" t="str">
        <x:v>0</x:v>
      </x:c>
      <x:c r="L96" s="20" t="str">
        <x:v>Click on Tab #3.</x:v>
      </x:c>
      <x:c r="M96" s="20" t="str">
        <x:v>click("21", "left")</x:v>
      </x:c>
      <x:c r="N96" s="6" t="str">
        <x:v>0.0</x:v>
      </x:c>
      <x:c r="O96" s="20" t="str">
        <x:v>file:///root/autodl-tmp/miniwob-plusplus/miniwob/html/miniwob/click-tab.html</x:v>
      </x:c>
      <x:c r="P96" s="20" t="str">
        <x:v>Click Tab Task</x:v>
      </x:c>
      <x:c r="Q96"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'Proin varius faucibus. Quisque risus donec pulvinar elementum, sit leo non diam praesent cras ac est velit elementum sagittis sed.'</x:v>
      </x:c>
      <x:c r="R96" s="20" t="str">
        <x:v>file:///root/autodl-tmp/miniwob-plusplus/miniwob/html/miniwob/click-tab.html</x:v>
      </x:c>
      <x:c r="S96" s="20" t="str">
        <x:v>Click Tab Task</x:v>
      </x:c>
      <x:c r="T96"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'Morbi risus platea est sapien velit donec arcu, eget mattis arcu magna. Facilisis enim, diam gravida senectus. Vitae integer lobortis.'</x:v>
      </x:c>
      <x:c r="U96" s="6" t="str">
        <x:v>0</x:v>
      </x:c>
      <x:c r="V96" s="6" t="str">
        <x:v>0</x:v>
      </x:c>
      <x:c r="W96" s="6" t="str">
        <x:v>0</x:v>
      </x:c>
      <x:c r="X96" s="6" t="str">
        <x:v>1</x:v>
      </x:c>
      <x:c r="Y96" s="6" t="str">
        <x:v>0</x:v>
      </x:c>
      <x:c r="Z96" s="6" t="str">
        <x:v>1</x:v>
      </x:c>
      <x:c r="AA96" s="6" t="str">
        <x:v>0.0</x:v>
      </x:c>
      <x:c r="AB96" s="20" t="str">
        <x:v>Codex证据复核v1：原始记录唯一匹配、环境实测、反事实配对ID完整、终止且非成功、奖励非正、队列标签与结果派生规则一致；非人工签字。</x:v>
      </x:c>
    </x:row>
    <x:row r="97" ht="46" customHeight="1">
      <x:c r="A97" s="6" t="str">
        <x:v>1</x:v>
      </x:c>
      <x:c r="B97" s="6" t="str">
        <x:v>08f7845a14ba1c33a77d</x:v>
      </x:c>
      <x:c r="C97" s="6" t="str">
        <x:v>evidence_approved</x:v>
      </x:c>
      <x:c r="D97" s="6" t="str">
        <x:v>codex-evidence-review-v1</x:v>
      </x:c>
      <x:c r="E97" s="22" t="n">
        <x:v>46244.40206471065</x:v>
      </x:c>
      <x:c r="F97" s="6" t="str">
        <x:v>20</x:v>
      </x:c>
      <x:c r="G97" s="20" t="str">
        <x:v>observed_counterfactual;severe_failure;terminal</x:v>
      </x:c>
      <x:c r="H97" s="20" t="str">
        <x:v>browsergym/miniwob.click-dialog-2</x:v>
      </x:c>
      <x:c r="I97" s="6" t="str">
        <x:v>browsergym/miniwob.click-dialog-2</x:v>
      </x:c>
      <x:c r="J97" s="6" t="str">
        <x:v>cf-click-dialog-2-seed1034-hard_wrong_target</x:v>
      </x:c>
      <x:c r="K97" s="6" t="str">
        <x:v>0</x:v>
      </x:c>
      <x:c r="L97" s="20" t="str">
        <x:v>Click the button in the dialog box labeled "x".</x:v>
      </x:c>
      <x:c r="M97" s="20" t="str">
        <x:v>click("28", "left")</x:v>
      </x:c>
      <x:c r="N97" s="6" t="str">
        <x:v>0.0</x:v>
      </x:c>
      <x:c r="O97" s="20" t="str">
        <x:v>file:///root/autodl-tmp/miniwob-plusplus/miniwob/html/miniwob/click-dialog-2.html</x:v>
      </x:c>
      <x:c r="P97" s="20" t="str">
        <x:v>Click Dialog Task</x:v>
      </x:c>
      <x:c r="Q97" s="20" t="str">
        <x:v>RootWebArea 'Click Dialog Task', focused [17] dialog '', clickable, modal=False, describedby='dialog' StaticText '' [20] button 'Close', clickable [24] paragraph '' StaticText 'Lorem lectus porttitor cursus.' [27] button 'Cancel', clickable, focused [28] button 'OK', clickable</x:v>
      </x:c>
      <x:c r="R97" s="20" t="str">
        <x:v>file:///root/autodl-tmp/miniwob-plusplus/miniwob/html/miniwob/click-dialog-2.html</x:v>
      </x:c>
      <x:c r="S97" s="20" t="str">
        <x:v>Click Dialog Task</x:v>
      </x:c>
      <x:c r="T97" s="20" t="str">
        <x:v>RootWebArea 'Click Dialog Task', focused [17] dialog '', clickable, modal=False, describedby='dialog' StaticText '' [20] button 'Close', clickable [24] paragraph '' StaticText 'Lorem lectus porttitor cursus.' [27] button 'Cancel', clickable [28] button 'OK', clickable, focused</x:v>
      </x:c>
      <x:c r="U97" s="6" t="str">
        <x:v>0</x:v>
      </x:c>
      <x:c r="V97" s="6" t="str">
        <x:v>0</x:v>
      </x:c>
      <x:c r="W97" s="6" t="str">
        <x:v>0</x:v>
      </x:c>
      <x:c r="X97" s="6" t="str">
        <x:v>1</x:v>
      </x:c>
      <x:c r="Y97" s="6" t="str">
        <x:v>0</x:v>
      </x:c>
      <x:c r="Z97" s="6" t="str">
        <x:v>1</x:v>
      </x:c>
      <x:c r="AA97" s="6" t="str">
        <x:v>0.0</x:v>
      </x:c>
      <x:c r="AB97" s="20" t="str">
        <x:v>Codex证据复核v1：原始记录唯一匹配、环境实测、反事实配对ID完整、终止且非成功、奖励非正、队列标签与结果派生规则一致；非人工签字。</x:v>
      </x:c>
    </x:row>
    <x:row r="98" ht="46" customHeight="1">
      <x:c r="A98" s="6" t="str">
        <x:v>1</x:v>
      </x:c>
      <x:c r="B98" s="6" t="str">
        <x:v>e669b33bcddf58063570</x:v>
      </x:c>
      <x:c r="C98" s="6" t="str">
        <x:v>evidence_approved</x:v>
      </x:c>
      <x:c r="D98" s="6" t="str">
        <x:v>codex-evidence-review-v1</x:v>
      </x:c>
      <x:c r="E98" s="22" t="n">
        <x:v>46244.40206471065</x:v>
      </x:c>
      <x:c r="F98" s="6" t="str">
        <x:v>20</x:v>
      </x:c>
      <x:c r="G98" s="20" t="str">
        <x:v>observed_counterfactual;severe_failure;terminal</x:v>
      </x:c>
      <x:c r="H98" s="20" t="str">
        <x:v>browsergym/miniwob.enter-text</x:v>
      </x:c>
      <x:c r="I98" s="6" t="str">
        <x:v>browsergym/miniwob.enter-text</x:v>
      </x:c>
      <x:c r="J98" s="6" t="str">
        <x:v>cf-enter-text-seed1026-hard_wrong_target</x:v>
      </x:c>
      <x:c r="K98" s="6" t="str">
        <x:v>0</x:v>
      </x:c>
      <x:c r="L98" s="20" t="str">
        <x:v>Enter "Cristin" into the text field and press Submit.</x:v>
      </x:c>
      <x:c r="M98" s="20" t="str">
        <x:v>click("15", "left")</x:v>
      </x:c>
      <x:c r="N98" s="6" t="str">
        <x:v>0.0</x:v>
      </x:c>
      <x:c r="O98" s="20" t="str">
        <x:v>file:///root/autodl-tmp/miniwob-plusplus/miniwob/html/miniwob/enter-text.html</x:v>
      </x:c>
      <x:c r="P98" s="20" t="str">
        <x:v>Enter Text Task</x:v>
      </x:c>
      <x:c r="Q98" s="20" t="str">
        <x:v>RootWebArea 'Enter Text Task', focused [14] textbox '', clickable [15] button 'Submit', clickable</x:v>
      </x:c>
      <x:c r="R98" s="20" t="str">
        <x:v>file:///root/autodl-tmp/miniwob-plusplus/miniwob/html/miniwob/enter-text.html</x:v>
      </x:c>
      <x:c r="S98" s="20" t="str">
        <x:v>Enter Text Task</x:v>
      </x:c>
      <x:c r="T98" s="20" t="str">
        <x:v>RootWebArea 'Enter Text Task', focused [14] textbox '', clickable [15] button 'Submit', clickable, focused</x:v>
      </x:c>
      <x:c r="U98" s="6" t="str">
        <x:v>0</x:v>
      </x:c>
      <x:c r="V98" s="6" t="str">
        <x:v>0</x:v>
      </x:c>
      <x:c r="W98" s="6" t="str">
        <x:v>0</x:v>
      </x:c>
      <x:c r="X98" s="6" t="str">
        <x:v>1</x:v>
      </x:c>
      <x:c r="Y98" s="6" t="str">
        <x:v>0</x:v>
      </x:c>
      <x:c r="Z98" s="6" t="str">
        <x:v>1</x:v>
      </x:c>
      <x:c r="AA98" s="6" t="str">
        <x:v>0.0</x:v>
      </x:c>
      <x:c r="AB98" s="20" t="str">
        <x:v>Codex证据复核v1：原始记录唯一匹配、环境实测、反事实配对ID完整、终止且非成功、奖励非正、队列标签与结果派生规则一致；非人工签字。</x:v>
      </x:c>
    </x:row>
    <x:row r="99" ht="46" customHeight="1">
      <x:c r="A99" s="6" t="str">
        <x:v>1</x:v>
      </x:c>
      <x:c r="B99" s="6" t="str">
        <x:v>c5ee620421312e3c0cda</x:v>
      </x:c>
      <x:c r="C99" s="6" t="str">
        <x:v>evidence_approved</x:v>
      </x:c>
      <x:c r="D99" s="6" t="str">
        <x:v>codex-evidence-review-v1</x:v>
      </x:c>
      <x:c r="E99" s="22" t="n">
        <x:v>46244.40206471065</x:v>
      </x:c>
      <x:c r="F99" s="6" t="str">
        <x:v>20</x:v>
      </x:c>
      <x:c r="G99" s="20" t="str">
        <x:v>observed_counterfactual;severe_failure;terminal</x:v>
      </x:c>
      <x:c r="H99" s="20" t="str">
        <x:v>browsergym/miniwob.enter-text-2</x:v>
      </x:c>
      <x:c r="I99" s="6" t="str">
        <x:v>browsergym/miniwob.enter-text-2</x:v>
      </x:c>
      <x:c r="J99" s="6" t="str">
        <x:v>cf-enter-text-2-seed1029-hard_wrong_target</x:v>
      </x:c>
      <x:c r="K99" s="6" t="str">
        <x:v>0</x:v>
      </x:c>
      <x:c r="L99" s="20" t="str">
        <x:v>Type "jess" in all upper case letters in the text input and press Submit.</x:v>
      </x:c>
      <x:c r="M99" s="20" t="str">
        <x:v>click("15", "left")</x:v>
      </x:c>
      <x:c r="N99" s="6" t="str">
        <x:v>0.0</x:v>
      </x:c>
      <x:c r="O99" s="20" t="str">
        <x:v>file:///root/autodl-tmp/miniwob-plusplus/miniwob/html/miniwob/enter-text-2.html</x:v>
      </x:c>
      <x:c r="P99" s="20" t="str">
        <x:v>Enter Text Task</x:v>
      </x:c>
      <x:c r="Q99" s="20" t="str">
        <x:v>RootWebArea 'Enter Text Task', focused [14] textbox '', clickable [15] button 'Submit', clickable</x:v>
      </x:c>
      <x:c r="R99" s="20" t="str">
        <x:v>file:///root/autodl-tmp/miniwob-plusplus/miniwob/html/miniwob/enter-text-2.html</x:v>
      </x:c>
      <x:c r="S99" s="20" t="str">
        <x:v>Enter Text Task</x:v>
      </x:c>
      <x:c r="T99" s="20" t="str">
        <x:v>RootWebArea 'Enter Text Task', focused [14] textbox '', clickable [15] button 'Submit', clickable, focused</x:v>
      </x:c>
      <x:c r="U99" s="6" t="str">
        <x:v>0</x:v>
      </x:c>
      <x:c r="V99" s="6" t="str">
        <x:v>0</x:v>
      </x:c>
      <x:c r="W99" s="6" t="str">
        <x:v>0</x:v>
      </x:c>
      <x:c r="X99" s="6" t="str">
        <x:v>1</x:v>
      </x:c>
      <x:c r="Y99" s="6" t="str">
        <x:v>0</x:v>
      </x:c>
      <x:c r="Z99" s="6" t="str">
        <x:v>1</x:v>
      </x:c>
      <x:c r="AA99" s="6" t="str">
        <x:v>0.0</x:v>
      </x:c>
      <x:c r="AB99" s="20" t="str">
        <x:v>Codex证据复核v1：原始记录唯一匹配、环境实测、反事实配对ID完整、终止且非成功、奖励非正、队列标签与结果派生规则一致；非人工签字。</x:v>
      </x:c>
    </x:row>
    <x:row r="100" ht="46" customHeight="1">
      <x:c r="A100" s="6" t="str">
        <x:v>1</x:v>
      </x:c>
      <x:c r="B100" s="6" t="str">
        <x:v>d3d8fe8334a4fe4a937d</x:v>
      </x:c>
      <x:c r="C100" s="6" t="str">
        <x:v>evidence_approved</x:v>
      </x:c>
      <x:c r="D100" s="6" t="str">
        <x:v>codex-evidence-review-v1</x:v>
      </x:c>
      <x:c r="E100" s="22" t="n">
        <x:v>46244.40206471065</x:v>
      </x:c>
      <x:c r="F100" s="6" t="str">
        <x:v>20</x:v>
      </x:c>
      <x:c r="G100" s="20" t="str">
        <x:v>observed_counterfactual;severe_failure;terminal</x:v>
      </x:c>
      <x:c r="H100" s="20" t="str">
        <x:v>browsergym/miniwob.click-dialog-2</x:v>
      </x:c>
      <x:c r="I100" s="6" t="str">
        <x:v>browsergym/miniwob.click-dialog-2</x:v>
      </x:c>
      <x:c r="J100" s="6" t="str">
        <x:v>cf-click-dialog-2-seed1030-hard_wrong_target</x:v>
      </x:c>
      <x:c r="K100" s="6" t="str">
        <x:v>0</x:v>
      </x:c>
      <x:c r="L100" s="20" t="str">
        <x:v>Click the button in the dialog box labeled "x".</x:v>
      </x:c>
      <x:c r="M100" s="20" t="str">
        <x:v>click("28", "left")</x:v>
      </x:c>
      <x:c r="N100" s="6" t="str">
        <x:v>0.0</x:v>
      </x:c>
      <x:c r="O100" s="20" t="str">
        <x:v>file:///root/autodl-tmp/miniwob-plusplus/miniwob/html/miniwob/click-dialog-2.html</x:v>
      </x:c>
      <x:c r="P100" s="20" t="str">
        <x:v>Click Dialog Task</x:v>
      </x:c>
      <x:c r="Q100" s="20" t="str">
        <x:v>RootWebArea 'Click Dialog Task', focused [17] dialog '', clickable, modal=False, describedby='dialog' StaticText '' [20] button 'Close', clickable [24] paragraph '' StaticText 'Vitae. Condimentum. Dictum arcu ornare.' [27] button 'Cancel', clickable, focused [28] button 'OK', clickable</x:v>
      </x:c>
      <x:c r="R100" s="20" t="str">
        <x:v>file:///root/autodl-tmp/miniwob-plusplus/miniwob/html/miniwob/click-dialog-2.html</x:v>
      </x:c>
      <x:c r="S100" s="20" t="str">
        <x:v>Click Dialog Task</x:v>
      </x:c>
      <x:c r="T100" s="20" t="str">
        <x:v>RootWebArea 'Click Dialog Task', focused [17] dialog '', clickable, modal=False, describedby='dialog' StaticText '' [20] button 'Close', clickable [24] paragraph '' StaticText 'Vitae. Condimentum. Dictum arcu ornare.' [27] button 'Cancel', clickable [28] button 'OK', clickable, focused</x:v>
      </x:c>
      <x:c r="U100" s="6" t="str">
        <x:v>0</x:v>
      </x:c>
      <x:c r="V100" s="6" t="str">
        <x:v>0</x:v>
      </x:c>
      <x:c r="W100" s="6" t="str">
        <x:v>0</x:v>
      </x:c>
      <x:c r="X100" s="6" t="str">
        <x:v>1</x:v>
      </x:c>
      <x:c r="Y100" s="6" t="str">
        <x:v>0</x:v>
      </x:c>
      <x:c r="Z100" s="6" t="str">
        <x:v>1</x:v>
      </x:c>
      <x:c r="AA100" s="6" t="str">
        <x:v>0.0</x:v>
      </x:c>
      <x:c r="AB100" s="20" t="str">
        <x:v>Codex证据复核v1：原始记录唯一匹配、环境实测、反事实配对ID完整、终止且非成功、奖励非正、队列标签与结果派生规则一致；非人工签字。</x:v>
      </x:c>
    </x:row>
    <x:row r="101" ht="46" customHeight="1">
      <x:c r="A101" s="6" t="str">
        <x:v>1</x:v>
      </x:c>
      <x:c r="B101" s="6" t="str">
        <x:v>e3cd7a49d4544d7bfaf5</x:v>
      </x:c>
      <x:c r="C101" s="6" t="str">
        <x:v>evidence_approved</x:v>
      </x:c>
      <x:c r="D101" s="6" t="str">
        <x:v>codex-evidence-review-v1</x:v>
      </x:c>
      <x:c r="E101" s="22" t="n">
        <x:v>46244.40206471065</x:v>
      </x:c>
      <x:c r="F101" s="6" t="str">
        <x:v>20</x:v>
      </x:c>
      <x:c r="G101" s="20" t="str">
        <x:v>observed_counterfactual;severe_failure;terminal</x:v>
      </x:c>
      <x:c r="H101" s="20" t="str">
        <x:v>browsergym/miniwob.click-widget</x:v>
      </x:c>
      <x:c r="I101" s="6" t="str">
        <x:v>browsergym/miniwob.click-widget</x:v>
      </x:c>
      <x:c r="J101" s="6" t="str">
        <x:v>cf-click-widget-seed1014-wrong_action_type</x:v>
      </x:c>
      <x:c r="K101" s="6" t="str">
        <x:v>0</x:v>
      </x:c>
      <x:c r="L101" s="20" t="str">
        <x:v>Click on a "radio" widget.</x:v>
      </x:c>
      <x:c r="M101" s="20" t="str">
        <x:v>click("24", "left")</x:v>
      </x:c>
      <x:c r="N101" s="6" t="str">
        <x:v>0.0</x:v>
      </x:c>
      <x:c r="O101" s="20" t="str">
        <x:v>file:///root/autodl-tmp/miniwob-plusplus/miniwob/html/miniwob/click-widget.html</x:v>
      </x:c>
      <x:c r="P101" s="20" t="str">
        <x:v>Click Widget Task</x:v>
      </x:c>
      <x:c r="Q101" s="20" t="str">
        <x:v>RootWebArea 'Click Widget Task', focused [14] textbox '' value='br6q' StaticText 'br6q' [16] textbox '' value='0' StaticText '0' [18] LabelText '', clickable [19] radio 'pcGL', clickable, checked='false' StaticText 'pcGL' [21] LabelText '', clickable [22] radio 'apOW', clickable, checked='false' StaticText 'apOW' [24] button 'YKPUX'</x:v>
      </x:c>
      <x:c r="R101" s="20" t="str">
        <x:v>file:///root/autodl-tmp/miniwob-plusplus/miniwob/html/miniwob/click-widget.html</x:v>
      </x:c>
      <x:c r="S101" s="20" t="str">
        <x:v>Click Widget Task</x:v>
      </x:c>
      <x:c r="T101" s="20" t="str">
        <x:v>RootWebArea 'Click Widget Task', focused [14] textbox '' value='br6q' StaticText 'br6q' [16] textbox '' value='0' StaticText '0' [18] LabelText '', clickable [19] radio 'pcGL', clickable, checked='false' StaticText 'pcGL' [21] LabelText '', clickable [22] radio 'apOW', clickable, checked='false' StaticText 'apOW' [24] button 'YKPUX', focused</x:v>
      </x:c>
      <x:c r="U101" s="6" t="str">
        <x:v>0</x:v>
      </x:c>
      <x:c r="V101" s="6" t="str">
        <x:v>0</x:v>
      </x:c>
      <x:c r="W101" s="6" t="str">
        <x:v>0</x:v>
      </x:c>
      <x:c r="X101" s="6" t="str">
        <x:v>1</x:v>
      </x:c>
      <x:c r="Y101" s="6" t="str">
        <x:v>0</x:v>
      </x:c>
      <x:c r="Z101" s="6" t="str">
        <x:v>1</x:v>
      </x:c>
      <x:c r="AA101" s="6" t="str">
        <x:v>0.0</x:v>
      </x:c>
      <x:c r="AB101" s="20" t="str">
        <x:v>Codex证据复核v1：原始记录唯一匹配、环境实测、反事实配对ID完整、终止且非成功、奖励非正、队列标签与结果派生规则一致；非人工签字。</x:v>
      </x:c>
    </x:row>
    <x:row r="102" ht="46" customHeight="1">
      <x:c r="A102" s="6" t="str">
        <x:v>1</x:v>
      </x:c>
      <x:c r="B102" s="6" t="str">
        <x:v>7a2c88f553ebae520b90</x:v>
      </x:c>
      <x:c r="C102" s="6" t="str">
        <x:v>evidence_approved</x:v>
      </x:c>
      <x:c r="D102" s="6" t="str">
        <x:v>codex-evidence-review-v1</x:v>
      </x:c>
      <x:c r="E102" s="22" t="n">
        <x:v>46244.40206471065</x:v>
      </x:c>
      <x:c r="F102" s="6" t="str">
        <x:v>20</x:v>
      </x:c>
      <x:c r="G102" s="20" t="str">
        <x:v>observed_counterfactual;severe_failure;terminal</x:v>
      </x:c>
      <x:c r="H102" s="20" t="str">
        <x:v>browsergym/miniwob.click-widget</x:v>
      </x:c>
      <x:c r="I102" s="6" t="str">
        <x:v>browsergym/miniwob.click-widget</x:v>
      </x:c>
      <x:c r="J102" s="6" t="str">
        <x:v>cf-click-widget-seed1013-hard_wrong_target</x:v>
      </x:c>
      <x:c r="K102" s="6" t="str">
        <x:v>0</x:v>
      </x:c>
      <x:c r="L102" s="20" t="str">
        <x:v>Click on a "textarea" widget.</x:v>
      </x:c>
      <x:c r="M102" s="20" t="str">
        <x:v>click("22", "left")</x:v>
      </x:c>
      <x:c r="N102" s="6" t="str">
        <x:v>0.0</x:v>
      </x:c>
      <x:c r="O102" s="20" t="str">
        <x:v>file:///root/autodl-tmp/miniwob-plusplus/miniwob/html/miniwob/click-widget.html</x:v>
      </x:c>
      <x:c r="P102" s="20" t="str">
        <x:v>Click Widget Task</x:v>
      </x:c>
      <x:c r="Q102" s="20" t="str">
        <x:v>RootWebArea 'Click Widget Task', focused [14] textbox '' value='qp' StaticText 'qp' [16] textbox '' value='Ke', clickable StaticText 'Ke' [18] LabelText '', clickable [19] radio 'orsgi', clickable, checked='false' StaticText 'orsgi' [21] LabelText '', clickable [22] radio 'U91B', clickable, checked='false' StaticText 'U91B' [24] textbox '' value='ksuby' StaticText 'ksuby'</x:v>
      </x:c>
      <x:c r="R102" s="20" t="str">
        <x:v>file:///root/autodl-tmp/miniwob-plusplus/miniwob/html/miniwob/click-widget.html</x:v>
      </x:c>
      <x:c r="S102" s="20" t="str">
        <x:v>Click Widget Task</x:v>
      </x:c>
      <x:c r="T102" s="20" t="str">
        <x:v>RootWebArea 'Click Widget Task', focused [14] textbox '' value='qp' StaticText 'qp' [16] textbox '' value='Ke', clickable StaticText 'Ke' [18] LabelText '', clickable [19] radio 'orsgi', clickable, checked='false' StaticText 'orsgi' [21] LabelText '', clickable [22] radio 'U91B', clickable, focused, checked='true' StaticText 'U91B' [24] textbox '' value='ksuby' StaticText 'ksuby'</x:v>
      </x:c>
      <x:c r="U102" s="6" t="str">
        <x:v>0</x:v>
      </x:c>
      <x:c r="V102" s="6" t="str">
        <x:v>0</x:v>
      </x:c>
      <x:c r="W102" s="6" t="str">
        <x:v>0</x:v>
      </x:c>
      <x:c r="X102" s="6" t="str">
        <x:v>1</x:v>
      </x:c>
      <x:c r="Y102" s="6" t="str">
        <x:v>0</x:v>
      </x:c>
      <x:c r="Z102" s="6" t="str">
        <x:v>1</x:v>
      </x:c>
      <x:c r="AA102" s="6" t="str">
        <x:v>0.0</x:v>
      </x:c>
      <x:c r="AB102" s="20" t="str">
        <x:v>Codex证据复核v1：原始记录唯一匹配、环境实测、反事实配对ID完整、终止且非成功、奖励非正、队列标签与结果派生规则一致；非人工签字。</x:v>
      </x:c>
    </x:row>
    <x:row r="103" ht="46" customHeight="1">
      <x:c r="A103" s="6" t="str">
        <x:v>1</x:v>
      </x:c>
      <x:c r="B103" s="6" t="str">
        <x:v>9a5ca6ab41e0361d496b</x:v>
      </x:c>
      <x:c r="C103" s="6" t="str">
        <x:v>evidence_approved</x:v>
      </x:c>
      <x:c r="D103" s="6" t="str">
        <x:v>codex-evidence-review-v1</x:v>
      </x:c>
      <x:c r="E103" s="22" t="n">
        <x:v>46244.40206471065</x:v>
      </x:c>
      <x:c r="F103" s="6" t="str">
        <x:v>20</x:v>
      </x:c>
      <x:c r="G103" s="20" t="str">
        <x:v>observed_counterfactual;severe_failure;terminal</x:v>
      </x:c>
      <x:c r="H103" s="20" t="str">
        <x:v>browsergym/miniwob.enter-text-2</x:v>
      </x:c>
      <x:c r="I103" s="6" t="str">
        <x:v>browsergym/miniwob.enter-text-2</x:v>
      </x:c>
      <x:c r="J103" s="6" t="str">
        <x:v>cf-enter-text-2-seed1033-hard_wrong_target</x:v>
      </x:c>
      <x:c r="K103" s="6" t="str">
        <x:v>0</x:v>
      </x:c>
      <x:c r="L103" s="20" t="str">
        <x:v>Type "dannie" in all upper case letters in the text input and press Submit.</x:v>
      </x:c>
      <x:c r="M103" s="20" t="str">
        <x:v>click("15", "left")</x:v>
      </x:c>
      <x:c r="N103" s="6" t="str">
        <x:v>0.0</x:v>
      </x:c>
      <x:c r="O103" s="20" t="str">
        <x:v>file:///root/autodl-tmp/miniwob-plusplus/miniwob/html/miniwob/enter-text-2.html</x:v>
      </x:c>
      <x:c r="P103" s="20" t="str">
        <x:v>Enter Text Task</x:v>
      </x:c>
      <x:c r="Q103" s="20" t="str">
        <x:v>RootWebArea 'Enter Text Task', focused [14] textbox '', clickable [15] button 'Submit', clickable</x:v>
      </x:c>
      <x:c r="R103" s="20" t="str">
        <x:v>file:///root/autodl-tmp/miniwob-plusplus/miniwob/html/miniwob/enter-text-2.html</x:v>
      </x:c>
      <x:c r="S103" s="20" t="str">
        <x:v>Enter Text Task</x:v>
      </x:c>
      <x:c r="T103" s="20" t="str">
        <x:v>RootWebArea 'Enter Text Task', focused [14] textbox '', clickable [15] button 'Submit', clickable, focused</x:v>
      </x:c>
      <x:c r="U103" s="6" t="str">
        <x:v>0</x:v>
      </x:c>
      <x:c r="V103" s="6" t="str">
        <x:v>0</x:v>
      </x:c>
      <x:c r="W103" s="6" t="str">
        <x:v>0</x:v>
      </x:c>
      <x:c r="X103" s="6" t="str">
        <x:v>1</x:v>
      </x:c>
      <x:c r="Y103" s="6" t="str">
        <x:v>0</x:v>
      </x:c>
      <x:c r="Z103" s="6" t="str">
        <x:v>1</x:v>
      </x:c>
      <x:c r="AA103" s="6" t="str">
        <x:v>0.0</x:v>
      </x:c>
      <x:c r="AB103" s="20" t="str">
        <x:v>Codex证据复核v1：原始记录唯一匹配、环境实测、反事实配对ID完整、终止且非成功、奖励非正、队列标签与结果派生规则一致；非人工签字。</x:v>
      </x:c>
    </x:row>
    <x:row r="104" ht="46" customHeight="1">
      <x:c r="A104" s="6" t="str">
        <x:v>1</x:v>
      </x:c>
      <x:c r="B104" s="6" t="str">
        <x:v>7caa6b85cb70b5de0f3b</x:v>
      </x:c>
      <x:c r="C104" s="6" t="str">
        <x:v>evidence_approved</x:v>
      </x:c>
      <x:c r="D104" s="6" t="str">
        <x:v>codex-evidence-review-v1</x:v>
      </x:c>
      <x:c r="E104" s="22" t="n">
        <x:v>46244.40206471065</x:v>
      </x:c>
      <x:c r="F104" s="6" t="str">
        <x:v>20</x:v>
      </x:c>
      <x:c r="G104" s="20" t="str">
        <x:v>observed_counterfactual;severe_failure;terminal</x:v>
      </x:c>
      <x:c r="H104" s="20" t="str">
        <x:v>browsergym/miniwob.click-widget</x:v>
      </x:c>
      <x:c r="I104" s="6" t="str">
        <x:v>browsergym/miniwob.click-widget</x:v>
      </x:c>
      <x:c r="J104" s="6" t="str">
        <x:v>cf-click-widget-seed1036-wrong_action_type</x:v>
      </x:c>
      <x:c r="K104" s="6" t="str">
        <x:v>0</x:v>
      </x:c>
      <x:c r="L104" s="20" t="str">
        <x:v>Click on a "text" widget.</x:v>
      </x:c>
      <x:c r="M104" s="20" t="str">
        <x:v>click("25", "left")</x:v>
      </x:c>
      <x:c r="N104" s="6" t="str">
        <x:v>0.0</x:v>
      </x:c>
      <x:c r="O104" s="20" t="str">
        <x:v>file:///root/autodl-tmp/miniwob-plusplus/miniwob/html/miniwob/click-widget.html</x:v>
      </x:c>
      <x:c r="P104" s="20" t="str">
        <x:v>Click Widget Task</x:v>
      </x:c>
      <x:c r="Q104" s="20" t="str">
        <x:v>RootWebArea 'Click Widget Task', focused [14] textbox '' value='4z', clickable StaticText '4z' [16] textbox '' value='iyM', clickable StaticText 'iyM' [18] LabelText '', clickable [19] radio 'jFHBl', clickable, checked='false' StaticText 'jFHBl' [21] LabelText '', clickable [22] checkbox '6hM8S', clickable, checked='false' StaticText '6hM8S' [24] LabelText '', clickable [25] radio 'gO', clickable, checked='false' StaticText 'gO'</x:v>
      </x:c>
      <x:c r="R104" s="20" t="str">
        <x:v>file:///root/autodl-tmp/miniwob-plusplus/miniwob/html/miniwob/click-widget.html</x:v>
      </x:c>
      <x:c r="S104" s="20" t="str">
        <x:v>Click Widget Task</x:v>
      </x:c>
      <x:c r="T104" s="20" t="str">
        <x:v>RootWebArea 'Click Widget Task', focused [14] textbox '' value='4z', clickable StaticText '4z' [16] textbox '' value='iyM', clickable StaticText 'iyM' [18] LabelText '', clickable [19] radio 'jFHBl', clickable, checked='false' StaticText 'jFHBl' [21] LabelText '', clickable [22] checkbox '6hM8S', clickable, checked='false' StaticText '6hM8S' [24] LabelText '', clickable [25] radio 'gO', clickable, focused, checked='true' StaticText 'gO'</x:v>
      </x:c>
      <x:c r="U104" s="6" t="str">
        <x:v>0</x:v>
      </x:c>
      <x:c r="V104" s="6" t="str">
        <x:v>0</x:v>
      </x:c>
      <x:c r="W104" s="6" t="str">
        <x:v>0</x:v>
      </x:c>
      <x:c r="X104" s="6" t="str">
        <x:v>1</x:v>
      </x:c>
      <x:c r="Y104" s="6" t="str">
        <x:v>0</x:v>
      </x:c>
      <x:c r="Z104" s="6" t="str">
        <x:v>1</x:v>
      </x:c>
      <x:c r="AA104" s="6" t="str">
        <x:v>0.0</x:v>
      </x:c>
      <x:c r="AB104" s="20" t="str">
        <x:v>Codex证据复核v1：原始记录唯一匹配、环境实测、反事实配对ID完整、终止且非成功、奖励非正、队列标签与结果派生规则一致；非人工签字。</x:v>
      </x:c>
    </x:row>
    <x:row r="105" ht="46" customHeight="1">
      <x:c r="A105" s="6" t="str">
        <x:v>1</x:v>
      </x:c>
      <x:c r="B105" s="6" t="str">
        <x:v>60c29bb0e475674a5d32</x:v>
      </x:c>
      <x:c r="C105" s="6" t="str">
        <x:v>evidence_approved</x:v>
      </x:c>
      <x:c r="D105" s="6" t="str">
        <x:v>codex-evidence-review-v1</x:v>
      </x:c>
      <x:c r="E105" s="22" t="n">
        <x:v>46244.40206471065</x:v>
      </x:c>
      <x:c r="F105" s="6" t="str">
        <x:v>20</x:v>
      </x:c>
      <x:c r="G105" s="20" t="str">
        <x:v>observed_counterfactual;severe_failure;terminal</x:v>
      </x:c>
      <x:c r="H105" s="20" t="str">
        <x:v>browsergym/miniwob.click-checkboxes-soft</x:v>
      </x:c>
      <x:c r="I105" s="6" t="str">
        <x:v>browsergym/miniwob.click-checkboxes-soft</x:v>
      </x:c>
      <x:c r="J105" s="6" t="str">
        <x:v>cf-click-checkboxes-soft-seed1028-missing_target</x:v>
      </x:c>
      <x:c r="K105" s="6" t="str">
        <x:v>0</x:v>
      </x:c>
      <x:c r="L105" s="20" t="str">
        <x:v>Select words similar to furious, humorous, little, scared and click Submit.</x:v>
      </x:c>
      <x:c r="M105" s="20" t="str">
        <x:v>click("33", "left")</x:v>
      </x:c>
      <x:c r="N105" s="6" t="str">
        <x:v>0.0</x:v>
      </x:c>
      <x:c r="O105" s="20" t="str">
        <x:v>file:///root/autodl-tmp/miniwob-plusplus/miniwob/html/miniwob/click-checkboxes-soft.html</x:v>
      </x:c>
      <x:c r="P105" s="20" t="str">
        <x:v>Click Checkboxes Task</x:v>
      </x:c>
      <x:c r="Q105" s="20" t="str">
        <x:v>RootWebArea 'Click Checkboxes Task', focused [17] LabelText '', clickable [18] checkbox 'laughable', clickable, checked='false' StaticText 'laughable' [20] LabelText '', clickable [21] checkbox 'frightened', clickable, checked='false' StaticText 'frightened' [23] LabelText '', clickable [24] checkbox 'angry', clickable, checked='false' StaticText 'angry' [26] LabelText '', clickable [27] checkbox 'small', clickable, checked='false' StaticText 'small' [29] LabelText '', clickable [30] checkbox 'incorrect', clickable, checked='false' StaticText 'incorrect' [33] button 'Submit', clickable</x:v>
      </x:c>
      <x:c r="R105" s="20" t="str">
        <x:v>file:///root/autodl-tmp/miniwob-plusplus/miniwob/html/miniwob/click-checkboxes-soft.html</x:v>
      </x:c>
      <x:c r="S105" s="20" t="str">
        <x:v>Click Checkboxes Task</x:v>
      </x:c>
      <x:c r="T105" s="20" t="str">
        <x:v>RootWebArea 'Click Checkboxes Task', focused [17] LabelText '', clickable [18] checkbox 'laughable', clickable, checked='false' StaticText 'laughable' [20] LabelText '', clickable [21] checkbox 'frightened', clickable, checked='false' StaticText 'frightened' [23] LabelText '', clickable [24] checkbox 'angry', clickable, checked='false' StaticText 'angry' [26] LabelText '', clickable [27] checkbox 'small', clickable, checked='false' StaticText 'small' [29] LabelText '', clickable [30] checkbox 'incorrect', clickable, checked='false' StaticText 'incorrect' [33] button 'Submit', clickable, focused</x:v>
      </x:c>
      <x:c r="U105" s="6" t="str">
        <x:v>0</x:v>
      </x:c>
      <x:c r="V105" s="6" t="str">
        <x:v>0</x:v>
      </x:c>
      <x:c r="W105" s="6" t="str">
        <x:v>0</x:v>
      </x:c>
      <x:c r="X105" s="6" t="str">
        <x:v>1</x:v>
      </x:c>
      <x:c r="Y105" s="6" t="str">
        <x:v>0</x:v>
      </x:c>
      <x:c r="Z105" s="6" t="str">
        <x:v>1</x:v>
      </x:c>
      <x:c r="AA105" s="6" t="str">
        <x:v>0.0</x:v>
      </x:c>
      <x:c r="AB105" s="20" t="str">
        <x:v>Codex证据复核v1：原始记录唯一匹配、环境实测、反事实配对ID完整、终止且非成功、奖励非正、队列标签与结果派生规则一致；非人工签字。</x:v>
      </x:c>
    </x:row>
    <x:row r="106" ht="46" customHeight="1">
      <x:c r="A106" s="6" t="str">
        <x:v>1</x:v>
      </x:c>
      <x:c r="B106" s="6" t="str">
        <x:v>64b12ae9c1f2adddb1e9</x:v>
      </x:c>
      <x:c r="C106" s="6" t="str">
        <x:v>evidence_approved</x:v>
      </x:c>
      <x:c r="D106" s="6" t="str">
        <x:v>codex-evidence-review-v1</x:v>
      </x:c>
      <x:c r="E106" s="22" t="n">
        <x:v>46244.40206471065</x:v>
      </x:c>
      <x:c r="F106" s="6" t="str">
        <x:v>20</x:v>
      </x:c>
      <x:c r="G106" s="20" t="str">
        <x:v>observed_counterfactual;severe_failure;terminal</x:v>
      </x:c>
      <x:c r="H106" s="20" t="str">
        <x:v>browsergym/miniwob.choose-list</x:v>
      </x:c>
      <x:c r="I106" s="6" t="str">
        <x:v>browsergym/miniwob.choose-list</x:v>
      </x:c>
      <x:c r="J106" s="6" t="str">
        <x:v>cf-choose-list-seed1018-wrong_action_type</x:v>
      </x:c>
      <x:c r="K106" s="6" t="str">
        <x:v>0</x:v>
      </x:c>
      <x:c r="L106" s="20" t="str">
        <x:v>Select Chile from the list and click Submit.</x:v>
      </x:c>
      <x:c r="M106" s="20" t="str">
        <x:v>click("20", "left")</x:v>
      </x:c>
      <x:c r="N106" s="6" t="str">
        <x:v>0.0</x:v>
      </x:c>
      <x:c r="O106" s="20" t="str">
        <x:v>file:///root/autodl-tmp/miniwob-plusplus/miniwob/html/miniwob/choose-list.html</x:v>
      </x:c>
      <x:c r="P106" s="20" t="str">
        <x:v>Choose List Task</x:v>
      </x:c>
      <x:c r="Q106" s="20" t="str">
        <x:v>RootWebArea 'Choose List Task', focused [13] combobox '' value='Tajikistan', hasPopup='menu', expanded=False [20] button 'Submit', clickable</x:v>
      </x:c>
      <x:c r="R106" s="20" t="str">
        <x:v>file:///root/autodl-tmp/miniwob-plusplus/miniwob/html/miniwob/choose-list.html</x:v>
      </x:c>
      <x:c r="S106" s="20" t="str">
        <x:v>Choose List Task</x:v>
      </x:c>
      <x:c r="T106" s="20" t="str">
        <x:v>RootWebArea 'Choose List Task', focused [13] combobox '' value='Tajikistan', hasPopup='menu', expanded=False [20] button 'Submit', clickable, focused</x:v>
      </x:c>
      <x:c r="U106" s="6" t="str">
        <x:v>0</x:v>
      </x:c>
      <x:c r="V106" s="6" t="str">
        <x:v>0</x:v>
      </x:c>
      <x:c r="W106" s="6" t="str">
        <x:v>0</x:v>
      </x:c>
      <x:c r="X106" s="6" t="str">
        <x:v>1</x:v>
      </x:c>
      <x:c r="Y106" s="6" t="str">
        <x:v>0</x:v>
      </x:c>
      <x:c r="Z106" s="6" t="str">
        <x:v>1</x:v>
      </x:c>
      <x:c r="AA106" s="6" t="str">
        <x:v>0.0</x:v>
      </x:c>
      <x:c r="AB106" s="20" t="str">
        <x:v>Codex证据复核v1：原始记录唯一匹配、环境实测、反事实配对ID完整、终止且非成功、奖励非正、队列标签与结果派生规则一致；非人工签字。</x:v>
      </x:c>
    </x:row>
    <x:row r="107" ht="46" customHeight="1">
      <x:c r="A107" s="6" t="str">
        <x:v>1</x:v>
      </x:c>
      <x:c r="B107" s="6" t="str">
        <x:v>bf6660d840c2ae57ca75</x:v>
      </x:c>
      <x:c r="C107" s="6" t="str">
        <x:v>evidence_approved</x:v>
      </x:c>
      <x:c r="D107" s="6" t="str">
        <x:v>codex-evidence-review-v1</x:v>
      </x:c>
      <x:c r="E107" s="22" t="n">
        <x:v>46244.40206471065</x:v>
      </x:c>
      <x:c r="F107" s="6" t="str">
        <x:v>20</x:v>
      </x:c>
      <x:c r="G107" s="20" t="str">
        <x:v>observed_counterfactual;severe_failure;terminal</x:v>
      </x:c>
      <x:c r="H107" s="20" t="str">
        <x:v>browsergym/miniwob.click-test-2</x:v>
      </x:c>
      <x:c r="I107" s="6" t="str">
        <x:v>browsergym/miniwob.click-test-2</x:v>
      </x:c>
      <x:c r="J107" s="6" t="str">
        <x:v>cf-click-test-2-seed1014-hard_wrong_target</x:v>
      </x:c>
      <x:c r="K107" s="6" t="str">
        <x:v>0</x:v>
      </x:c>
      <x:c r="L107" s="20" t="str">
        <x:v>Click button ONE.</x:v>
      </x:c>
      <x:c r="M107" s="20" t="str">
        <x:v>click("14", "left")</x:v>
      </x:c>
      <x:c r="N107" s="6" t="str">
        <x:v>0.0</x:v>
      </x:c>
      <x:c r="O107" s="20" t="str">
        <x:v>file:///root/autodl-tmp/miniwob-plusplus/miniwob/html/miniwob/click-test-2.html</x:v>
      </x:c>
      <x:c r="P107" s="20" t="str">
        <x:v>Click Test Task</x:v>
      </x:c>
      <x:c r="Q107" s="20" t="str">
        <x:v>RootWebArea 'Click Test Task', focused [13] button 'ONE', clickable [14] button 'TWO', clickable</x:v>
      </x:c>
      <x:c r="R107" s="20" t="str">
        <x:v>file:///root/autodl-tmp/miniwob-plusplus/miniwob/html/miniwob/click-test-2.html</x:v>
      </x:c>
      <x:c r="S107" s="20" t="str">
        <x:v>Click Test Task</x:v>
      </x:c>
      <x:c r="T107" s="20" t="str">
        <x:v>RootWebArea 'Click Test Task', focused [13] button 'ONE', clickable [14] button 'TWO', clickable, focused</x:v>
      </x:c>
      <x:c r="U107" s="6" t="str">
        <x:v>0</x:v>
      </x:c>
      <x:c r="V107" s="6" t="str">
        <x:v>0</x:v>
      </x:c>
      <x:c r="W107" s="6" t="str">
        <x:v>0</x:v>
      </x:c>
      <x:c r="X107" s="6" t="str">
        <x:v>1</x:v>
      </x:c>
      <x:c r="Y107" s="6" t="str">
        <x:v>0</x:v>
      </x:c>
      <x:c r="Z107" s="6" t="str">
        <x:v>1</x:v>
      </x:c>
      <x:c r="AA107" s="6" t="str">
        <x:v>0.0</x:v>
      </x:c>
      <x:c r="AB107" s="20" t="str">
        <x:v>Codex证据复核v1：原始记录唯一匹配、环境实测、反事实配对ID完整、终止且非成功、奖励非正、队列标签与结果派生规则一致；非人工签字。</x:v>
      </x:c>
    </x:row>
    <x:row r="108" ht="46" customHeight="1">
      <x:c r="A108" s="6" t="str">
        <x:v>1</x:v>
      </x:c>
      <x:c r="B108" s="6" t="str">
        <x:v>8571ec55f228262c552d</x:v>
      </x:c>
      <x:c r="C108" s="6" t="str">
        <x:v>evidence_approved</x:v>
      </x:c>
      <x:c r="D108" s="6" t="str">
        <x:v>codex-evidence-review-v1</x:v>
      </x:c>
      <x:c r="E108" s="22" t="n">
        <x:v>46244.40206471065</x:v>
      </x:c>
      <x:c r="F108" s="6" t="str">
        <x:v>20</x:v>
      </x:c>
      <x:c r="G108" s="20" t="str">
        <x:v>observed_counterfactual;severe_failure;terminal</x:v>
      </x:c>
      <x:c r="H108" s="20" t="str">
        <x:v>browsergym/miniwob.scroll-text-2</x:v>
      </x:c>
      <x:c r="I108" s="6" t="str">
        <x:v>browsergym/miniwob.scroll-text-2</x:v>
      </x:c>
      <x:c r="J108" s="6" t="str">
        <x:v>cf-scroll-text-2-seed1012-hard_wrong_target</x:v>
      </x:c>
      <x:c r="K108" s="6" t="str">
        <x:v>0</x:v>
      </x:c>
      <x:c r="L108" s="20" t="str">
        <x:v>Scroll the textarea to the top of the text hit submit.</x:v>
      </x:c>
      <x:c r="M108" s="20" t="str">
        <x:v>click("14", "left")</x:v>
      </x:c>
      <x:c r="N108" s="6" t="str">
        <x:v>0.0</x:v>
      </x:c>
      <x:c r="O108" s="20" t="str">
        <x:v>file:///root/autodl-tmp/miniwob-plusplus/miniwob/html/miniwob/scroll-text-2.html</x:v>
      </x:c>
      <x:c r="P108" s="20" t="str">
        <x:v>Scroll Text Task</x:v>
      </x:c>
      <x:c r="Q108" s="20" t="str">
        <x:v>RootWebArea 'Scroll Text Task', focused [13] textbox '' value='Diam.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nec sit. Sit eget. Quisque. Tincidunt augue ultrices. Tincidunt vitae imperdiet in sem vitae. Vulputate faucibus venenatis, vestibulum lobortis. Aliquet est sed ultrices donec habitant.' StaticText 'Diam.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nec sit. Sit eget. Quisque. Tincidunt…</x:v>
      </x:c>
      <x:c r="R108" s="20" t="str">
        <x:v>file:///root/autodl-tmp/miniwob-plusplus/miniwob/html/miniwob/scroll-text-2.html</x:v>
      </x:c>
      <x:c r="S108" s="20" t="str">
        <x:v>Scroll Text Task</x:v>
      </x:c>
      <x:c r="T108" s="20" t="str">
        <x:v>RootWebArea 'Scroll Text Task', focused [13] textbox '' value='Diam.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nec sit. Sit eget. Quisque. Tincidunt augue ultrices. Tincidunt vitae imperdiet in sem vitae. Vulputate faucibus venenatis, vestibulum lobortis. Aliquet est sed ultrices donec habitant.' StaticText 'Diam.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nec sit. Sit eget. Quisque. Tincidunt…</x:v>
      </x:c>
      <x:c r="U108" s="6" t="str">
        <x:v>0</x:v>
      </x:c>
      <x:c r="V108" s="6" t="str">
        <x:v>0</x:v>
      </x:c>
      <x:c r="W108" s="6" t="str">
        <x:v>0</x:v>
      </x:c>
      <x:c r="X108" s="6" t="str">
        <x:v>1</x:v>
      </x:c>
      <x:c r="Y108" s="6" t="str">
        <x:v>0</x:v>
      </x:c>
      <x:c r="Z108" s="6" t="str">
        <x:v>1</x:v>
      </x:c>
      <x:c r="AA108" s="6" t="str">
        <x:v>0.0</x:v>
      </x:c>
      <x:c r="AB108" s="20" t="str">
        <x:v>Codex证据复核v1：原始记录唯一匹配、环境实测、反事实配对ID完整、终止且非成功、奖励非正、队列标签与结果派生规则一致；非人工签字。</x:v>
      </x:c>
    </x:row>
    <x:row r="109" ht="46" customHeight="1">
      <x:c r="A109" s="6" t="str">
        <x:v>1</x:v>
      </x:c>
      <x:c r="B109" s="6" t="str">
        <x:v>7d4bbffef09da75eb261</x:v>
      </x:c>
      <x:c r="C109" s="6" t="str">
        <x:v>evidence_approved</x:v>
      </x:c>
      <x:c r="D109" s="6" t="str">
        <x:v>codex-evidence-review-v1</x:v>
      </x:c>
      <x:c r="E109" s="22" t="n">
        <x:v>46244.40206471065</x:v>
      </x:c>
      <x:c r="F109" s="6" t="str">
        <x:v>20</x:v>
      </x:c>
      <x:c r="G109" s="20" t="str">
        <x:v>observed_counterfactual;severe_failure;terminal</x:v>
      </x:c>
      <x:c r="H109" s="20" t="str">
        <x:v>browsergym/miniwob.click-tab</x:v>
      </x:c>
      <x:c r="I109" s="6" t="str">
        <x:v>browsergym/miniwob.click-tab</x:v>
      </x:c>
      <x:c r="J109" s="6" t="str">
        <x:v>cf-click-tab-seed1008-hard_wrong_target</x:v>
      </x:c>
      <x:c r="K109" s="6" t="str">
        <x:v>0</x:v>
      </x:c>
      <x:c r="L109" s="20" t="str">
        <x:v>Click on Tab #2.</x:v>
      </x:c>
      <x:c r="M109" s="20" t="str">
        <x:v>click("19", "left")</x:v>
      </x:c>
      <x:c r="N109" s="6" t="str">
        <x:v>0.0</x:v>
      </x:c>
      <x:c r="O109" s="20" t="str">
        <x:v>file:///root/autodl-tmp/miniwob-plusplus/miniwob/html/miniwob/click-tab.html</x:v>
      </x:c>
      <x:c r="P109" s="20" t="str">
        <x:v>Click Tab Task</x:v>
      </x:c>
      <x:c r="Q109"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'Eu non id amet,. Ipsum lectus. Feugiat ullamcorper quis elementum nunc massa integer et. Quis sagittis adipiscing tellus urna in.'</x:v>
      </x:c>
      <x:c r="R109" s="20" t="str">
        <x:v>file:///root/autodl-tmp/miniwob-plusplus/miniwob/html/miniwob/click-tab.html</x:v>
      </x:c>
      <x:c r="S109" s="20" t="str">
        <x:v>Click Tab Task</x:v>
      </x:c>
      <x:c r="T109"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'Eu non id amet,. Ipsum lectus. Feugiat ullamcorper quis elementum nunc massa integer et. Quis sagittis adipiscing tellus urna in.'</x:v>
      </x:c>
      <x:c r="U109" s="6" t="str">
        <x:v>0</x:v>
      </x:c>
      <x:c r="V109" s="6" t="str">
        <x:v>0</x:v>
      </x:c>
      <x:c r="W109" s="6" t="str">
        <x:v>0</x:v>
      </x:c>
      <x:c r="X109" s="6" t="str">
        <x:v>1</x:v>
      </x:c>
      <x:c r="Y109" s="6" t="str">
        <x:v>0</x:v>
      </x:c>
      <x:c r="Z109" s="6" t="str">
        <x:v>1</x:v>
      </x:c>
      <x:c r="AA109" s="6" t="str">
        <x:v>0.0</x:v>
      </x:c>
      <x:c r="AB109" s="20" t="str">
        <x:v>Codex证据复核v1：原始记录唯一匹配、环境实测、反事实配对ID完整、终止且非成功、奖励非正、队列标签与结果派生规则一致；非人工签字。</x:v>
      </x:c>
    </x:row>
    <x:row r="110" ht="46" customHeight="1">
      <x:c r="A110" s="6" t="str">
        <x:v>1</x:v>
      </x:c>
      <x:c r="B110" s="6" t="str">
        <x:v>cb730536165a3da825de</x:v>
      </x:c>
      <x:c r="C110" s="6" t="str">
        <x:v>evidence_approved</x:v>
      </x:c>
      <x:c r="D110" s="6" t="str">
        <x:v>codex-evidence-review-v1</x:v>
      </x:c>
      <x:c r="E110" s="22" t="n">
        <x:v>46244.40206471065</x:v>
      </x:c>
      <x:c r="F110" s="6" t="str">
        <x:v>20</x:v>
      </x:c>
      <x:c r="G110" s="20" t="str">
        <x:v>observed_counterfactual;severe_failure;terminal</x:v>
      </x:c>
      <x:c r="H110" s="20" t="str">
        <x:v>browsergym/miniwob.click-button</x:v>
      </x:c>
      <x:c r="I110" s="6" t="str">
        <x:v>browsergym/miniwob.click-button</x:v>
      </x:c>
      <x:c r="J110" s="6" t="str">
        <x:v>cf-click-button-seed1015-hard_wrong_target</x:v>
      </x:c>
      <x:c r="K110" s="6" t="str">
        <x:v>0</x:v>
      </x:c>
      <x:c r="L110" s="20" t="str">
        <x:v>Click on the "Submit" button.</x:v>
      </x:c>
      <x:c r="M110" s="20" t="str">
        <x:v>click("20", "left")</x:v>
      </x:c>
      <x:c r="N110" s="6" t="str">
        <x:v>0.0</x:v>
      </x:c>
      <x:c r="O110" s="20" t="str">
        <x:v>file:///root/autodl-tmp/miniwob-plusplus/miniwob/html/miniwob/click-button.html</x:v>
      </x:c>
      <x:c r="P110" s="20" t="str">
        <x:v>Click Button Task</x:v>
      </x:c>
      <x:c r="Q110" s="20" t="str">
        <x:v>RootWebArea 'Click Button Task', focused [12] textbox '', clickable [14] textbox '', clickable StaticText 'nullam pellentesque tristique' [17] button 'Submit', clickable [18] button 'no', clickable [20] button 'submit', clickable</x:v>
      </x:c>
      <x:c r="R110" s="20" t="str">
        <x:v>file:///root/autodl-tmp/miniwob-plusplus/miniwob/html/miniwob/click-button.html</x:v>
      </x:c>
      <x:c r="S110" s="20" t="str">
        <x:v>Click Button Task</x:v>
      </x:c>
      <x:c r="T110" s="20" t="str">
        <x:v>RootWebArea 'Click Button Task', focused [12] textbox '', clickable [14] textbox '', clickable StaticText 'nullam pellentesque tristique' [17] button 'Submit', clickable [18] button 'no', clickable [20] button 'submit', clickable, focused</x:v>
      </x:c>
      <x:c r="U110" s="6" t="str">
        <x:v>0</x:v>
      </x:c>
      <x:c r="V110" s="6" t="str">
        <x:v>0</x:v>
      </x:c>
      <x:c r="W110" s="6" t="str">
        <x:v>0</x:v>
      </x:c>
      <x:c r="X110" s="6" t="str">
        <x:v>1</x:v>
      </x:c>
      <x:c r="Y110" s="6" t="str">
        <x:v>0</x:v>
      </x:c>
      <x:c r="Z110" s="6" t="str">
        <x:v>1</x:v>
      </x:c>
      <x:c r="AA110" s="6" t="str">
        <x:v>0.0</x:v>
      </x:c>
      <x:c r="AB110" s="20" t="str">
        <x:v>Codex证据复核v1：原始记录唯一匹配、环境实测、反事实配对ID完整、终止且非成功、奖励非正、队列标签与结果派生规则一致；非人工签字。</x:v>
      </x:c>
    </x:row>
    <x:row r="111" ht="46" customHeight="1">
      <x:c r="A111" s="6" t="str">
        <x:v>1</x:v>
      </x:c>
      <x:c r="B111" s="6" t="str">
        <x:v>7ed7bb5d091137617e24</x:v>
      </x:c>
      <x:c r="C111" s="6" t="str">
        <x:v>evidence_approved</x:v>
      </x:c>
      <x:c r="D111" s="6" t="str">
        <x:v>codex-evidence-review-v1</x:v>
      </x:c>
      <x:c r="E111" s="22" t="n">
        <x:v>46244.40206471065</x:v>
      </x:c>
      <x:c r="F111" s="6" t="str">
        <x:v>20</x:v>
      </x:c>
      <x:c r="G111" s="20" t="str">
        <x:v>observed_counterfactual;severe_failure;terminal</x:v>
      </x:c>
      <x:c r="H111" s="20" t="str">
        <x:v>browsergym/miniwob.choose-list</x:v>
      </x:c>
      <x:c r="I111" s="6" t="str">
        <x:v>browsergym/miniwob.choose-list</x:v>
      </x:c>
      <x:c r="J111" s="6" t="str">
        <x:v>cf-choose-list-seed1000-wrong_action_type</x:v>
      </x:c>
      <x:c r="K111" s="6" t="str">
        <x:v>0</x:v>
      </x:c>
      <x:c r="L111" s="20" t="str">
        <x:v>Select Drona from the list and click Submit.</x:v>
      </x:c>
      <x:c r="M111" s="20" t="str">
        <x:v>click("21", "left")</x:v>
      </x:c>
      <x:c r="N111" s="6" t="str">
        <x:v>0.0</x:v>
      </x:c>
      <x:c r="O111" s="20" t="str">
        <x:v>file:///root/autodl-tmp/miniwob-plusplus/miniwob/html/miniwob/choose-list.html</x:v>
      </x:c>
      <x:c r="P111" s="20" t="str">
        <x:v>Choose List Task</x:v>
      </x:c>
      <x:c r="Q111" s="20" t="str">
        <x:v>RootWebArea 'Choose List Task', focused [13] combobox '' value='Ann-Marie', hasPopup='menu', expanded=False [21] button 'Submit', clickable</x:v>
      </x:c>
      <x:c r="R111" s="20" t="str">
        <x:v>file:///root/autodl-tmp/miniwob-plusplus/miniwob/html/miniwob/choose-list.html</x:v>
      </x:c>
      <x:c r="S111" s="20" t="str">
        <x:v>Choose List Task</x:v>
      </x:c>
      <x:c r="T111" s="20" t="str">
        <x:v>RootWebArea 'Choose List Task', focused [13] combobox '' value='Ann-Marie', hasPopup='menu', expanded=False [21] button 'Submit', clickable, focused</x:v>
      </x:c>
      <x:c r="U111" s="6" t="str">
        <x:v>0</x:v>
      </x:c>
      <x:c r="V111" s="6" t="str">
        <x:v>0</x:v>
      </x:c>
      <x:c r="W111" s="6" t="str">
        <x:v>0</x:v>
      </x:c>
      <x:c r="X111" s="6" t="str">
        <x:v>1</x:v>
      </x:c>
      <x:c r="Y111" s="6" t="str">
        <x:v>0</x:v>
      </x:c>
      <x:c r="Z111" s="6" t="str">
        <x:v>1</x:v>
      </x:c>
      <x:c r="AA111" s="6" t="str">
        <x:v>0.0</x:v>
      </x:c>
      <x:c r="AB111" s="20" t="str">
        <x:v>Codex证据复核v1：原始记录唯一匹配、环境实测、反事实配对ID完整、终止且非成功、奖励非正、队列标签与结果派生规则一致；非人工签字。</x:v>
      </x:c>
    </x:row>
    <x:row r="112" ht="46" customHeight="1">
      <x:c r="A112" s="6" t="str">
        <x:v>1</x:v>
      </x:c>
      <x:c r="B112" s="6" t="str">
        <x:v>70318fac22eff7e4eafa</x:v>
      </x:c>
      <x:c r="C112" s="6" t="str">
        <x:v>evidence_approved</x:v>
      </x:c>
      <x:c r="D112" s="6" t="str">
        <x:v>codex-evidence-review-v1</x:v>
      </x:c>
      <x:c r="E112" s="22" t="n">
        <x:v>46244.40206471065</x:v>
      </x:c>
      <x:c r="F112" s="6" t="str">
        <x:v>20</x:v>
      </x:c>
      <x:c r="G112" s="20" t="str">
        <x:v>observed_counterfactual;severe_failure;terminal</x:v>
      </x:c>
      <x:c r="H112" s="20" t="str">
        <x:v>browsergym/miniwob.click-widget</x:v>
      </x:c>
      <x:c r="I112" s="6" t="str">
        <x:v>browsergym/miniwob.click-widget</x:v>
      </x:c>
      <x:c r="J112" s="6" t="str">
        <x:v>cf-click-widget-seed1024-missing_target</x:v>
      </x:c>
      <x:c r="K112" s="6" t="str">
        <x:v>0</x:v>
      </x:c>
      <x:c r="L112" s="20" t="str">
        <x:v>Click on a "text" widget.</x:v>
      </x:c>
      <x:c r="M112" s="20" t="str">
        <x:v>click("16", "left")</x:v>
      </x:c>
      <x:c r="N112" s="6" t="str">
        <x:v>0.0</x:v>
      </x:c>
      <x:c r="O112" s="20" t="str">
        <x:v>file:///root/autodl-tmp/miniwob-plusplus/miniwob/html/miniwob/click-widget.html</x:v>
      </x:c>
      <x:c r="P112" s="20" t="str">
        <x:v>Click Widget Task</x:v>
      </x:c>
      <x:c r="Q112" s="20" t="str">
        <x:v>RootWebArea 'Click Widget Task', focused [14] textbox '' value='Ur' StaticText 'Ur' [16] button 'Z3S3n' [18] textbox '' value='Edd', clickable StaticText 'Edd' [20] LabelText '', clickable [21] checkbox 'U', clickable, checked='false' StaticText 'U' [23] textbox '' value='bnNN' StaticText 'bnNN'</x:v>
      </x:c>
      <x:c r="R112" s="20" t="str">
        <x:v>file:///root/autodl-tmp/miniwob-plusplus/miniwob/html/miniwob/click-widget.html</x:v>
      </x:c>
      <x:c r="S112" s="20" t="str">
        <x:v>Click Widget Task</x:v>
      </x:c>
      <x:c r="T112" s="20" t="str">
        <x:v>RootWebArea 'Click Widget Task', focused [14] textbox '' value='Ur' StaticText 'Ur' [16] button 'Z3S3n', focused [18] textbox '' value='Edd', clickable StaticText 'Edd' [20] LabelText '', clickable [21] checkbox 'U', clickable, checked='false' StaticText 'U' [23] textbox '' value='bnNN' StaticText 'bnNN'</x:v>
      </x:c>
      <x:c r="U112" s="6" t="str">
        <x:v>0</x:v>
      </x:c>
      <x:c r="V112" s="6" t="str">
        <x:v>0</x:v>
      </x:c>
      <x:c r="W112" s="6" t="str">
        <x:v>0</x:v>
      </x:c>
      <x:c r="X112" s="6" t="str">
        <x:v>1</x:v>
      </x:c>
      <x:c r="Y112" s="6" t="str">
        <x:v>0</x:v>
      </x:c>
      <x:c r="Z112" s="6" t="str">
        <x:v>1</x:v>
      </x:c>
      <x:c r="AA112" s="6" t="str">
        <x:v>0.0</x:v>
      </x:c>
      <x:c r="AB112" s="20" t="str">
        <x:v>Codex证据复核v1：原始记录唯一匹配、环境实测、反事实配对ID完整、终止且非成功、奖励非正、队列标签与结果派生规则一致；非人工签字。</x:v>
      </x:c>
    </x:row>
    <x:row r="113" ht="46" customHeight="1">
      <x:c r="A113" s="6" t="str">
        <x:v>1</x:v>
      </x:c>
      <x:c r="B113" s="6" t="str">
        <x:v>6a8d21066b16bd44787a</x:v>
      </x:c>
      <x:c r="C113" s="6" t="str">
        <x:v>evidence_approved</x:v>
      </x:c>
      <x:c r="D113" s="6" t="str">
        <x:v>codex-evidence-review-v1</x:v>
      </x:c>
      <x:c r="E113" s="22" t="n">
        <x:v>46244.40206471065</x:v>
      </x:c>
      <x:c r="F113" s="6" t="str">
        <x:v>20</x:v>
      </x:c>
      <x:c r="G113" s="20" t="str">
        <x:v>observed_counterfactual;severe_failure;terminal</x:v>
      </x:c>
      <x:c r="H113" s="20" t="str">
        <x:v>browsergym/miniwob.click-widget</x:v>
      </x:c>
      <x:c r="I113" s="6" t="str">
        <x:v>browsergym/miniwob.click-widget</x:v>
      </x:c>
      <x:c r="J113" s="6" t="str">
        <x:v>cf-click-widget-seed1011-hard_wrong_target</x:v>
      </x:c>
      <x:c r="K113" s="6" t="str">
        <x:v>0</x:v>
      </x:c>
      <x:c r="L113" s="20" t="str">
        <x:v>Click on a "checkbox" widget.</x:v>
      </x:c>
      <x:c r="M113" s="20" t="str">
        <x:v>click("21", "left")</x:v>
      </x:c>
      <x:c r="N113" s="6" t="str">
        <x:v>0.0</x:v>
      </x:c>
      <x:c r="O113" s="20" t="str">
        <x:v>file:///root/autodl-tmp/miniwob-plusplus/miniwob/html/miniwob/click-widget.html</x:v>
      </x:c>
      <x:c r="P113" s="20" t="str">
        <x:v>Click Widget Task</x:v>
      </x:c>
      <x:c r="Q113" s="20" t="str">
        <x:v>RootWebArea 'Click Widget Task', focused [14] LabelText '', clickable [15] radio 'mXkaW', clickable, checked='false' StaticText 'mXkaW' [17] textbox '' value='zzO' StaticText 'zzO' [19] textbox '' value='U' StaticText 'U' [21] button 'GK' [23] LabelText '', clickable [24] checkbox 'b1', clickable, checked='false' StaticText 'b1'</x:v>
      </x:c>
      <x:c r="R113" s="20" t="str">
        <x:v>file:///root/autodl-tmp/miniwob-plusplus/miniwob/html/miniwob/click-widget.html</x:v>
      </x:c>
      <x:c r="S113" s="20" t="str">
        <x:v>Click Widget Task</x:v>
      </x:c>
      <x:c r="T113" s="20" t="str">
        <x:v>RootWebArea 'Click Widget Task', focused [14] LabelText '', clickable [15] radio 'mXkaW', clickable, checked='false' StaticText 'mXkaW' [17] textbox '' value='zzO' StaticText 'zzO' [19] textbox '' value='U' StaticText 'U' [21] button 'GK', focused [23] LabelText '', clickable [24] checkbox 'b1', clickable, checked='false' StaticText 'b1'</x:v>
      </x:c>
      <x:c r="U113" s="6" t="str">
        <x:v>0</x:v>
      </x:c>
      <x:c r="V113" s="6" t="str">
        <x:v>0</x:v>
      </x:c>
      <x:c r="W113" s="6" t="str">
        <x:v>0</x:v>
      </x:c>
      <x:c r="X113" s="6" t="str">
        <x:v>1</x:v>
      </x:c>
      <x:c r="Y113" s="6" t="str">
        <x:v>0</x:v>
      </x:c>
      <x:c r="Z113" s="6" t="str">
        <x:v>1</x:v>
      </x:c>
      <x:c r="AA113" s="6" t="str">
        <x:v>0.0</x:v>
      </x:c>
      <x:c r="AB113" s="20" t="str">
        <x:v>Codex证据复核v1：原始记录唯一匹配、环境实测、反事实配对ID完整、终止且非成功、奖励非正、队列标签与结果派生规则一致；非人工签字。</x:v>
      </x:c>
    </x:row>
    <x:row r="114" ht="46" customHeight="1">
      <x:c r="A114" s="6" t="str">
        <x:v>1</x:v>
      </x:c>
      <x:c r="B114" s="6" t="str">
        <x:v>8be51823208a6a2f1c95</x:v>
      </x:c>
      <x:c r="C114" s="6" t="str">
        <x:v>evidence_approved</x:v>
      </x:c>
      <x:c r="D114" s="6" t="str">
        <x:v>codex-evidence-review-v1</x:v>
      </x:c>
      <x:c r="E114" s="22" t="n">
        <x:v>46244.40206471065</x:v>
      </x:c>
      <x:c r="F114" s="6" t="str">
        <x:v>20</x:v>
      </x:c>
      <x:c r="G114" s="20" t="str">
        <x:v>observed_counterfactual;severe_failure;terminal</x:v>
      </x:c>
      <x:c r="H114" s="20" t="str">
        <x:v>browsergym/miniwob.scroll-text-2</x:v>
      </x:c>
      <x:c r="I114" s="6" t="str">
        <x:v>browsergym/miniwob.scroll-text-2</x:v>
      </x:c>
      <x:c r="J114" s="6" t="str">
        <x:v>cf-scroll-text-2-seed1005-hard_wrong_target</x:v>
      </x:c>
      <x:c r="K114" s="6" t="str">
        <x:v>0</x:v>
      </x:c>
      <x:c r="L114" s="20" t="str">
        <x:v>Scroll the textarea to the top of the text hit submit.</x:v>
      </x:c>
      <x:c r="M114" s="20" t="str">
        <x:v>click("14", "left")</x:v>
      </x:c>
      <x:c r="N114" s="6" t="str">
        <x:v>0.0</x:v>
      </x:c>
      <x:c r="O114" s="20" t="str">
        <x:v>file:///root/autodl-tmp/miniwob-plusplus/miniwob/html/miniwob/scroll-text-2.html</x:v>
      </x:c>
      <x:c r="P114" s="20" t="str">
        <x:v>Scroll Text Task</x:v>
      </x:c>
      <x:c r="Q114" s="20" t="str">
        <x:v>RootWebArea 'Scroll Text Task', focused [13] textbox '' value='Mattis. Facilisis id et et proin. Mattis malesuada purus a. Malesuada. Lorem. Nunc nunc sit pulvinar ut semper odio. Neque morbi turpis tristique ultrices quis. Nulla eget aliquet sed mattis. Donec at fringilla sollicitudin. Faucibus proin et urna. Semper at mattis enim congue massa in fermentum neque cursus morbi dictumst congue montes, dignissim massa amet, rhoncus, eu molestie. Duis risus lorem posuere euismod nunc tellus elementum elementum velit nunc velit lectus at aliquam massa, habitant. Vehicula. Lorem vitae sapien neque, et elit purus fermentum. Rhoncus dict… StaticText 'Mattis. Facilisis id et et proin. Mattis malesuada purus a. Malesuada. Lorem. Nunc nunc sit pulvinar ut semper odio. Neque morbi turpis tristique ultrices quis. Nulla eget aliquet sed mattis. Donec at fringilla sollicitudin. Faucibus proin et urna.…</x:v>
      </x:c>
      <x:c r="R114" s="20" t="str">
        <x:v>file:///root/autodl-tmp/miniwob-plusplus/miniwob/html/miniwob/scroll-text-2.html</x:v>
      </x:c>
      <x:c r="S114" s="20" t="str">
        <x:v>Scroll Text Task</x:v>
      </x:c>
      <x:c r="T114" s="20" t="str">
        <x:v>RootWebArea 'Scroll Text Task', focused [13] textbox '' value='Mattis. Facilisis id et et proin. Mattis malesuada purus a. Malesuada. Lorem. Nunc nunc sit pulvinar ut semper odio. Neque morbi turpis tristique ultrices quis. Nulla eget aliquet sed mattis. Donec at fringilla sollicitudin. Faucibus proin et urna. Semper at mattis enim congue massa in fermentum neque cursus morbi dictumst congue montes, dignissim massa amet, rhoncus, eu molestie. Duis risus lorem posuere euismod nunc tellus elementum elementum velit nunc velit lectus at aliquam massa, habitant. Vehicula. Lorem vitae sapien neque, et elit purus fermentum. Rhoncus dict… StaticText 'Mattis. Facilisis id et et proin. Mattis malesuada purus a. Malesuada. Lorem. Nunc nunc sit pulvinar ut semper odio. Neque morbi turpis tristique ultrices quis. Nulla eget aliquet sed mattis. Donec at fringilla sollicitudin. Faucibus proin et urna.…</x:v>
      </x:c>
      <x:c r="U114" s="6" t="str">
        <x:v>0</x:v>
      </x:c>
      <x:c r="V114" s="6" t="str">
        <x:v>0</x:v>
      </x:c>
      <x:c r="W114" s="6" t="str">
        <x:v>0</x:v>
      </x:c>
      <x:c r="X114" s="6" t="str">
        <x:v>1</x:v>
      </x:c>
      <x:c r="Y114" s="6" t="str">
        <x:v>0</x:v>
      </x:c>
      <x:c r="Z114" s="6" t="str">
        <x:v>1</x:v>
      </x:c>
      <x:c r="AA114" s="6" t="str">
        <x:v>0.0</x:v>
      </x:c>
      <x:c r="AB114" s="20" t="str">
        <x:v>Codex证据复核v1：原始记录唯一匹配、环境实测、反事实配对ID完整、终止且非成功、奖励非正、队列标签与结果派生规则一致；非人工签字。</x:v>
      </x:c>
    </x:row>
    <x:row r="115" ht="46" customHeight="1">
      <x:c r="A115" s="6" t="str">
        <x:v>1</x:v>
      </x:c>
      <x:c r="B115" s="6" t="str">
        <x:v>eeb848e2478e2cc2d09b</x:v>
      </x:c>
      <x:c r="C115" s="6" t="str">
        <x:v>evidence_approved</x:v>
      </x:c>
      <x:c r="D115" s="6" t="str">
        <x:v>codex-evidence-review-v1</x:v>
      </x:c>
      <x:c r="E115" s="22" t="n">
        <x:v>46244.40206471065</x:v>
      </x:c>
      <x:c r="F115" s="6" t="str">
        <x:v>20</x:v>
      </x:c>
      <x:c r="G115" s="20" t="str">
        <x:v>observed_counterfactual;severe_failure;terminal</x:v>
      </x:c>
      <x:c r="H115" s="20" t="str">
        <x:v>browsergym/miniwob.scroll-text</x:v>
      </x:c>
      <x:c r="I115" s="6" t="str">
        <x:v>browsergym/miniwob.scroll-text</x:v>
      </x:c>
      <x:c r="J115" s="6" t="str">
        <x:v>cf-scroll-text-seed1007-hard_wrong_target</x:v>
      </x:c>
      <x:c r="K115" s="6" t="str">
        <x:v>0</x:v>
      </x:c>
      <x:c r="L115" s="20" t="str">
        <x:v>Find the last word in the text area, enter it into the text field and hit Submit.</x:v>
      </x:c>
      <x:c r="M115" s="20" t="str">
        <x:v>click("15", "left")</x:v>
      </x:c>
      <x:c r="N115" s="6" t="str">
        <x:v>0.0</x:v>
      </x:c>
      <x:c r="O115" s="20" t="str">
        <x:v>file:///root/autodl-tmp/miniwob-plusplus/miniwob/html/miniwob/scroll-text.html</x:v>
      </x:c>
      <x:c r="P115" s="20" t="str">
        <x:v>Scroll Text Task</x:v>
      </x:c>
      <x:c r="Q115" s="20" t="str">
        <x:v>RootWebArea 'Scroll Text Task', focused [13] textbox '' value='Tristique tempor sit vitae cras. Nullam pharetra est etiam sagittis elit consectetur commodo amet. Ultrices molestie posuere morbi urna tortor. Tellus. Enim gravida. Vitae, in dolor sit tristique sapien in in. Pellentesque sit lacinia donec nibh sagittis ut id vel sit praesent purus mattis mattis turpis at nunc. Felis vel bibendum rhoncus. Orci posuere quam. In nunc, odio tristique. Lacus. Velit mi odio. Odio neque integer pharetra, vitae integer tortor nunc, malesuada gravida quis amet duis nunc donec. Porttitor accumsan dignissim ultricies dignissim varius sit diam … StaticText 'Tristique tempor sit vitae cras. Nullam pharetra est etiam sagittis elit consectetur commodo amet. Ultrices molestie posuere morbi urna tortor. Tellus. Enim gravida. Vitae, in dolor sit tristique sapien in in. Pellentesque sit lacinia donec nibh sa…</x:v>
      </x:c>
      <x:c r="R115" s="20" t="str">
        <x:v>file:///root/autodl-tmp/miniwob-plusplus/miniwob/html/miniwob/scroll-text.html</x:v>
      </x:c>
      <x:c r="S115" s="20" t="str">
        <x:v>Scroll Text Task</x:v>
      </x:c>
      <x:c r="T115" s="20" t="str">
        <x:v>RootWebArea 'Scroll Text Task', focused [13] textbox '' value='Tristique tempor sit vitae cras. Nullam pharetra est etiam sagittis elit consectetur commodo amet. Ultrices molestie posuere morbi urna tortor. Tellus. Enim gravida. Vitae, in dolor sit tristique sapien in in. Pellentesque sit lacinia donec nibh sagittis ut id vel sit praesent purus mattis mattis turpis at nunc. Felis vel bibendum rhoncus. Orci posuere quam. In nunc, odio tristique. Lacus. Velit mi odio. Odio neque integer pharetra, vitae integer tortor nunc, malesuada gravida quis amet duis nunc donec. Porttitor accumsan dignissim ultricies dignissim varius sit diam … StaticText 'Tristique tempor sit vitae cras. Nullam pharetra est etiam sagittis elit consectetur commodo amet. Ultrices molestie posuere morbi urna tortor. Tellus. Enim gravida. Vitae, in dolor sit tristique sapien in in. Pellentesque sit lacinia donec nibh sa…</x:v>
      </x:c>
      <x:c r="U115" s="6" t="str">
        <x:v>0</x:v>
      </x:c>
      <x:c r="V115" s="6" t="str">
        <x:v>0</x:v>
      </x:c>
      <x:c r="W115" s="6" t="str">
        <x:v>0</x:v>
      </x:c>
      <x:c r="X115" s="6" t="str">
        <x:v>1</x:v>
      </x:c>
      <x:c r="Y115" s="6" t="str">
        <x:v>0</x:v>
      </x:c>
      <x:c r="Z115" s="6" t="str">
        <x:v>1</x:v>
      </x:c>
      <x:c r="AA115" s="6" t="str">
        <x:v>0.0</x:v>
      </x:c>
      <x:c r="AB115" s="20" t="str">
        <x:v>Codex证据复核v1：原始记录唯一匹配、环境实测、反事实配对ID完整、终止且非成功、奖励非正、队列标签与结果派生规则一致；非人工签字。</x:v>
      </x:c>
    </x:row>
    <x:row r="116" ht="46" customHeight="1">
      <x:c r="A116" s="6" t="str">
        <x:v>1</x:v>
      </x:c>
      <x:c r="B116" s="6" t="str">
        <x:v>3506970634df70b3b6f3</x:v>
      </x:c>
      <x:c r="C116" s="6" t="str">
        <x:v>evidence_approved</x:v>
      </x:c>
      <x:c r="D116" s="6" t="str">
        <x:v>codex-evidence-review-v1</x:v>
      </x:c>
      <x:c r="E116" s="22" t="n">
        <x:v>46244.40206471065</x:v>
      </x:c>
      <x:c r="F116" s="6" t="str">
        <x:v>20</x:v>
      </x:c>
      <x:c r="G116" s="20" t="str">
        <x:v>observed_counterfactual;severe_failure;terminal</x:v>
      </x:c>
      <x:c r="H116" s="20" t="str">
        <x:v>browsergym/miniwob.click-widget</x:v>
      </x:c>
      <x:c r="I116" s="6" t="str">
        <x:v>browsergym/miniwob.click-widget</x:v>
      </x:c>
      <x:c r="J116" s="6" t="str">
        <x:v>cf-click-widget-seed1005-wrong_action_type</x:v>
      </x:c>
      <x:c r="K116" s="6" t="str">
        <x:v>0</x:v>
      </x:c>
      <x:c r="L116" s="20" t="str">
        <x:v>Click on a "checkbox" widget.</x:v>
      </x:c>
      <x:c r="M116" s="20" t="str">
        <x:v>click("19", "left")</x:v>
      </x:c>
      <x:c r="N116" s="6" t="str">
        <x:v>0.0</x:v>
      </x:c>
      <x:c r="O116" s="20" t="str">
        <x:v>file:///root/autodl-tmp/miniwob-plusplus/miniwob/html/miniwob/click-widget.html</x:v>
      </x:c>
      <x:c r="P116" s="20" t="str">
        <x:v>Click Widget Task</x:v>
      </x:c>
      <x:c r="Q116" s="20" t="str">
        <x:v>RootWebArea 'Click Widget Task', focused [14] textbox '' value='p', clickable StaticText 'p' [16] LabelText '', clickable [17] radio '5mT', clickable, checked='false' StaticText '5mT' [19] button 'Z' [21] textbox '' value='v' StaticText 'v' [23] LabelText '', clickable [24] checkbox 'Tq', clickable, checked='false' StaticText 'Tq'</x:v>
      </x:c>
      <x:c r="R116" s="20" t="str">
        <x:v>file:///root/autodl-tmp/miniwob-plusplus/miniwob/html/miniwob/click-widget.html</x:v>
      </x:c>
      <x:c r="S116" s="20" t="str">
        <x:v>Click Widget Task</x:v>
      </x:c>
      <x:c r="T116" s="20" t="str">
        <x:v>RootWebArea 'Click Widget Task', focused [14] textbox '' value='p', clickable StaticText 'p' [16] LabelText '', clickable [17] radio '5mT', clickable, checked='false' StaticText '5mT' [19] button 'Z', focused [21] textbox '' value='v' StaticText 'v' [23] LabelText '', clickable [24] checkbox 'Tq', clickable, checked='false' StaticText 'Tq'</x:v>
      </x:c>
      <x:c r="U116" s="6" t="str">
        <x:v>0</x:v>
      </x:c>
      <x:c r="V116" s="6" t="str">
        <x:v>0</x:v>
      </x:c>
      <x:c r="W116" s="6" t="str">
        <x:v>0</x:v>
      </x:c>
      <x:c r="X116" s="6" t="str">
        <x:v>1</x:v>
      </x:c>
      <x:c r="Y116" s="6" t="str">
        <x:v>0</x:v>
      </x:c>
      <x:c r="Z116" s="6" t="str">
        <x:v>1</x:v>
      </x:c>
      <x:c r="AA116" s="6" t="str">
        <x:v>0.0</x:v>
      </x:c>
      <x:c r="AB116" s="20" t="str">
        <x:v>Codex证据复核v1：原始记录唯一匹配、环境实测、反事实配对ID完整、终止且非成功、奖励非正、队列标签与结果派生规则一致；非人工签字。</x:v>
      </x:c>
    </x:row>
    <x:row r="117" ht="46" customHeight="1">
      <x:c r="A117" s="6" t="str">
        <x:v>1</x:v>
      </x:c>
      <x:c r="B117" s="6" t="str">
        <x:v>73795f79fbd6a4f3bb3e</x:v>
      </x:c>
      <x:c r="C117" s="6" t="str">
        <x:v>evidence_approved</x:v>
      </x:c>
      <x:c r="D117" s="6" t="str">
        <x:v>codex-evidence-review-v1</x:v>
      </x:c>
      <x:c r="E117" s="22" t="n">
        <x:v>46244.40206471065</x:v>
      </x:c>
      <x:c r="F117" s="6" t="str">
        <x:v>20</x:v>
      </x:c>
      <x:c r="G117" s="20" t="str">
        <x:v>observed_counterfactual;severe_failure;terminal</x:v>
      </x:c>
      <x:c r="H117" s="20" t="str">
        <x:v>browsergym/miniwob.click-widget</x:v>
      </x:c>
      <x:c r="I117" s="6" t="str">
        <x:v>browsergym/miniwob.click-widget</x:v>
      </x:c>
      <x:c r="J117" s="6" t="str">
        <x:v>cf-click-widget-seed1011-missing_target</x:v>
      </x:c>
      <x:c r="K117" s="6" t="str">
        <x:v>0</x:v>
      </x:c>
      <x:c r="L117" s="20" t="str">
        <x:v>Click on a "checkbox" widget.</x:v>
      </x:c>
      <x:c r="M117" s="20" t="str">
        <x:v>click("21", "left")</x:v>
      </x:c>
      <x:c r="N117" s="6" t="str">
        <x:v>0.0</x:v>
      </x:c>
      <x:c r="O117" s="20" t="str">
        <x:v>file:///root/autodl-tmp/miniwob-plusplus/miniwob/html/miniwob/click-widget.html</x:v>
      </x:c>
      <x:c r="P117" s="20" t="str">
        <x:v>Click Widget Task</x:v>
      </x:c>
      <x:c r="Q117" s="20" t="str">
        <x:v>RootWebArea 'Click Widget Task', focused [14] LabelText '', clickable [15] radio 'mXkaW', clickable, checked='false' StaticText 'mXkaW' [17] textbox '' value='zzO' StaticText 'zzO' [19] textbox '' value='U' StaticText 'U' [21] button 'GK' [23] LabelText '', clickable [24] checkbox 'b1', clickable, checked='false' StaticText 'b1'</x:v>
      </x:c>
      <x:c r="R117" s="20" t="str">
        <x:v>file:///root/autodl-tmp/miniwob-plusplus/miniwob/html/miniwob/click-widget.html</x:v>
      </x:c>
      <x:c r="S117" s="20" t="str">
        <x:v>Click Widget Task</x:v>
      </x:c>
      <x:c r="T117" s="20" t="str">
        <x:v>RootWebArea 'Click Widget Task', focused [14] LabelText '', clickable [15] radio 'mXkaW', clickable, checked='false' StaticText 'mXkaW' [17] textbox '' value='zzO' StaticText 'zzO' [19] textbox '' value='U' StaticText 'U' [21] button 'GK', focused [23] LabelText '', clickable [24] checkbox 'b1', clickable, checked='false' StaticText 'b1'</x:v>
      </x:c>
      <x:c r="U117" s="6" t="str">
        <x:v>0</x:v>
      </x:c>
      <x:c r="V117" s="6" t="str">
        <x:v>0</x:v>
      </x:c>
      <x:c r="W117" s="6" t="str">
        <x:v>0</x:v>
      </x:c>
      <x:c r="X117" s="6" t="str">
        <x:v>1</x:v>
      </x:c>
      <x:c r="Y117" s="6" t="str">
        <x:v>0</x:v>
      </x:c>
      <x:c r="Z117" s="6" t="str">
        <x:v>1</x:v>
      </x:c>
      <x:c r="AA117" s="6" t="str">
        <x:v>0.0</x:v>
      </x:c>
      <x:c r="AB117" s="20" t="str">
        <x:v>Codex证据复核v1：原始记录唯一匹配、环境实测、反事实配对ID完整、终止且非成功、奖励非正、队列标签与结果派生规则一致；非人工签字。</x:v>
      </x:c>
    </x:row>
    <x:row r="118" ht="46" customHeight="1">
      <x:c r="A118" s="6" t="str">
        <x:v>1</x:v>
      </x:c>
      <x:c r="B118" s="6" t="str">
        <x:v>0d56a6ec7a5eb3831a01</x:v>
      </x:c>
      <x:c r="C118" s="6" t="str">
        <x:v>evidence_approved</x:v>
      </x:c>
      <x:c r="D118" s="6" t="str">
        <x:v>codex-evidence-review-v1</x:v>
      </x:c>
      <x:c r="E118" s="22" t="n">
        <x:v>46244.40206471065</x:v>
      </x:c>
      <x:c r="F118" s="6" t="str">
        <x:v>20</x:v>
      </x:c>
      <x:c r="G118" s="20" t="str">
        <x:v>observed_counterfactual;severe_failure;terminal</x:v>
      </x:c>
      <x:c r="H118" s="20" t="str">
        <x:v>browsergym/miniwob.click-test-2</x:v>
      </x:c>
      <x:c r="I118" s="6" t="str">
        <x:v>browsergym/miniwob.click-test-2</x:v>
      </x:c>
      <x:c r="J118" s="6" t="str">
        <x:v>cf-click-test-2-seed1022-hard_wrong_target</x:v>
      </x:c>
      <x:c r="K118" s="6" t="str">
        <x:v>0</x:v>
      </x:c>
      <x:c r="L118" s="20" t="str">
        <x:v>Click button ONE.</x:v>
      </x:c>
      <x:c r="M118" s="20" t="str">
        <x:v>click("14", "left")</x:v>
      </x:c>
      <x:c r="N118" s="6" t="str">
        <x:v>0.0</x:v>
      </x:c>
      <x:c r="O118" s="20" t="str">
        <x:v>file:///root/autodl-tmp/miniwob-plusplus/miniwob/html/miniwob/click-test-2.html</x:v>
      </x:c>
      <x:c r="P118" s="20" t="str">
        <x:v>Click Test Task</x:v>
      </x:c>
      <x:c r="Q118" s="20" t="str">
        <x:v>RootWebArea 'Click Test Task', focused [13] button 'ONE', clickable [14] button 'TWO', clickable</x:v>
      </x:c>
      <x:c r="R118" s="20" t="str">
        <x:v>file:///root/autodl-tmp/miniwob-plusplus/miniwob/html/miniwob/click-test-2.html</x:v>
      </x:c>
      <x:c r="S118" s="20" t="str">
        <x:v>Click Test Task</x:v>
      </x:c>
      <x:c r="T118" s="20" t="str">
        <x:v>RootWebArea 'Click Test Task', focused [13] button 'ONE', clickable [14] button 'TWO', clickable, focused</x:v>
      </x:c>
      <x:c r="U118" s="6" t="str">
        <x:v>0</x:v>
      </x:c>
      <x:c r="V118" s="6" t="str">
        <x:v>0</x:v>
      </x:c>
      <x:c r="W118" s="6" t="str">
        <x:v>0</x:v>
      </x:c>
      <x:c r="X118" s="6" t="str">
        <x:v>1</x:v>
      </x:c>
      <x:c r="Y118" s="6" t="str">
        <x:v>0</x:v>
      </x:c>
      <x:c r="Z118" s="6" t="str">
        <x:v>1</x:v>
      </x:c>
      <x:c r="AA118" s="6" t="str">
        <x:v>0.0</x:v>
      </x:c>
      <x:c r="AB118" s="20" t="str">
        <x:v>Codex证据复核v1：原始记录唯一匹配、环境实测、反事实配对ID完整、终止且非成功、奖励非正、队列标签与结果派生规则一致；非人工签字。</x:v>
      </x:c>
    </x:row>
    <x:row r="119" ht="46" customHeight="1">
      <x:c r="A119" s="6" t="str">
        <x:v>1</x:v>
      </x:c>
      <x:c r="B119" s="6" t="str">
        <x:v>fed299ceac8c72f445aa</x:v>
      </x:c>
      <x:c r="C119" s="6" t="str">
        <x:v>evidence_approved</x:v>
      </x:c>
      <x:c r="D119" s="6" t="str">
        <x:v>codex-evidence-review-v1</x:v>
      </x:c>
      <x:c r="E119" s="22" t="n">
        <x:v>46244.40206471065</x:v>
      </x:c>
      <x:c r="F119" s="6" t="str">
        <x:v>20</x:v>
      </x:c>
      <x:c r="G119" s="20" t="str">
        <x:v>observed_counterfactual;severe_failure;terminal</x:v>
      </x:c>
      <x:c r="H119" s="20" t="str">
        <x:v>browsergym/miniwob.enter-text-2</x:v>
      </x:c>
      <x:c r="I119" s="6" t="str">
        <x:v>browsergym/miniwob.enter-text-2</x:v>
      </x:c>
      <x:c r="J119" s="6" t="str">
        <x:v>cf-enter-text-2-seed1001-hard_wrong_target</x:v>
      </x:c>
      <x:c r="K119" s="6" t="str">
        <x:v>0</x:v>
      </x:c>
      <x:c r="L119" s="20" t="str">
        <x:v>Type "MARCELLA" in all lower case letters in the text input and press Submit.</x:v>
      </x:c>
      <x:c r="M119" s="20" t="str">
        <x:v>click("15", "left")</x:v>
      </x:c>
      <x:c r="N119" s="6" t="str">
        <x:v>0.0</x:v>
      </x:c>
      <x:c r="O119" s="20" t="str">
        <x:v>file:///root/autodl-tmp/miniwob-plusplus/miniwob/html/miniwob/enter-text-2.html</x:v>
      </x:c>
      <x:c r="P119" s="20" t="str">
        <x:v>Enter Text Task</x:v>
      </x:c>
      <x:c r="Q119" s="20" t="str">
        <x:v>RootWebArea 'Enter Text Task', focused [14] textbox '', clickable [15] button 'Submit', clickable</x:v>
      </x:c>
      <x:c r="R119" s="20" t="str">
        <x:v>file:///root/autodl-tmp/miniwob-plusplus/miniwob/html/miniwob/enter-text-2.html</x:v>
      </x:c>
      <x:c r="S119" s="20" t="str">
        <x:v>Enter Text Task</x:v>
      </x:c>
      <x:c r="T119" s="20" t="str">
        <x:v>RootWebArea 'Enter Text Task', focused [14] textbox '', clickable [15] button 'Submit', clickable, focused</x:v>
      </x:c>
      <x:c r="U119" s="6" t="str">
        <x:v>0</x:v>
      </x:c>
      <x:c r="V119" s="6" t="str">
        <x:v>0</x:v>
      </x:c>
      <x:c r="W119" s="6" t="str">
        <x:v>0</x:v>
      </x:c>
      <x:c r="X119" s="6" t="str">
        <x:v>1</x:v>
      </x:c>
      <x:c r="Y119" s="6" t="str">
        <x:v>0</x:v>
      </x:c>
      <x:c r="Z119" s="6" t="str">
        <x:v>1</x:v>
      </x:c>
      <x:c r="AA119" s="6" t="str">
        <x:v>0.0</x:v>
      </x:c>
      <x:c r="AB119" s="20" t="str">
        <x:v>Codex证据复核v1：原始记录唯一匹配、环境实测、反事实配对ID完整、终止且非成功、奖励非正、队列标签与结果派生规则一致；非人工签字。</x:v>
      </x:c>
    </x:row>
    <x:row r="120" ht="46" customHeight="1">
      <x:c r="A120" s="6" t="str">
        <x:v>1</x:v>
      </x:c>
      <x:c r="B120" s="6" t="str">
        <x:v>d034d396c375920b93ef</x:v>
      </x:c>
      <x:c r="C120" s="6" t="str">
        <x:v>evidence_approved</x:v>
      </x:c>
      <x:c r="D120" s="6" t="str">
        <x:v>codex-evidence-review-v1</x:v>
      </x:c>
      <x:c r="E120" s="22" t="n">
        <x:v>46244.40206471065</x:v>
      </x:c>
      <x:c r="F120" s="6" t="str">
        <x:v>20</x:v>
      </x:c>
      <x:c r="G120" s="20" t="str">
        <x:v>observed_counterfactual;severe_failure;terminal</x:v>
      </x:c>
      <x:c r="H120" s="20" t="str">
        <x:v>browsergym/miniwob.click-widget</x:v>
      </x:c>
      <x:c r="I120" s="6" t="str">
        <x:v>browsergym/miniwob.click-widget</x:v>
      </x:c>
      <x:c r="J120" s="6" t="str">
        <x:v>cf-click-widget-seed1016-hard_wrong_target</x:v>
      </x:c>
      <x:c r="K120" s="6" t="str">
        <x:v>0</x:v>
      </x:c>
      <x:c r="L120" s="20" t="str">
        <x:v>Click on a "textarea" widget.</x:v>
      </x:c>
      <x:c r="M120" s="20" t="str">
        <x:v>click("18", "left")</x:v>
      </x:c>
      <x:c r="N120" s="6" t="str">
        <x:v>0.0</x:v>
      </x:c>
      <x:c r="O120" s="20" t="str">
        <x:v>file:///root/autodl-tmp/miniwob-plusplus/miniwob/html/miniwob/click-widget.html</x:v>
      </x:c>
      <x:c r="P120" s="20" t="str">
        <x:v>Click Widget Task</x:v>
      </x:c>
      <x:c r="Q120" s="20" t="str">
        <x:v>RootWebArea 'Click Widget Task', focused [14] LabelText '', clickable [15] checkbox 'v94', clickable, checked='false' StaticText 'v94' [17] LabelText '', clickable [18] checkbox 'OAyQ', clickable, checked='false' StaticText 'OAyQ' [20] textbox '' value='2dour', clickable StaticText '2dour' [22] textbox '' value='r' StaticText 'r' [24] textbox '' value='gd' StaticText 'gd'</x:v>
      </x:c>
      <x:c r="R120" s="20" t="str">
        <x:v>file:///root/autodl-tmp/miniwob-plusplus/miniwob/html/miniwob/click-widget.html</x:v>
      </x:c>
      <x:c r="S120" s="20" t="str">
        <x:v>Click Widget Task</x:v>
      </x:c>
      <x:c r="T120" s="20" t="str">
        <x:v>RootWebArea 'Click Widget Task', focused [14] LabelText '', clickable [15] checkbox 'v94', clickable, checked='false' StaticText 'v94' [17] LabelText '', clickable [18] checkbox 'OAyQ', clickable, focused, checked='true' StaticText 'OAyQ' [20] textbox '' value='2dour', clickable StaticText '2dour' [22] textbox '' value='r' StaticText 'r' [24] textbox '' value='gd' StaticText 'gd'</x:v>
      </x:c>
      <x:c r="U120" s="6" t="str">
        <x:v>0</x:v>
      </x:c>
      <x:c r="V120" s="6" t="str">
        <x:v>0</x:v>
      </x:c>
      <x:c r="W120" s="6" t="str">
        <x:v>0</x:v>
      </x:c>
      <x:c r="X120" s="6" t="str">
        <x:v>1</x:v>
      </x:c>
      <x:c r="Y120" s="6" t="str">
        <x:v>0</x:v>
      </x:c>
      <x:c r="Z120" s="6" t="str">
        <x:v>1</x:v>
      </x:c>
      <x:c r="AA120" s="6" t="str">
        <x:v>0.0</x:v>
      </x:c>
      <x:c r="AB120" s="20" t="str">
        <x:v>Codex证据复核v1：原始记录唯一匹配、环境实测、反事实配对ID完整、终止且非成功、奖励非正、队列标签与结果派生规则一致；非人工签字。</x:v>
      </x:c>
    </x:row>
    <x:row r="121" ht="46" customHeight="1">
      <x:c r="A121" s="6" t="str">
        <x:v>1</x:v>
      </x:c>
      <x:c r="B121" s="6" t="str">
        <x:v>c0f249cdabd45596f1b3</x:v>
      </x:c>
      <x:c r="C121" s="6" t="str">
        <x:v>evidence_approved</x:v>
      </x:c>
      <x:c r="D121" s="6" t="str">
        <x:v>codex-evidence-review-v1</x:v>
      </x:c>
      <x:c r="E121" s="22" t="n">
        <x:v>46244.40206471065</x:v>
      </x:c>
      <x:c r="F121" s="6" t="str">
        <x:v>20</x:v>
      </x:c>
      <x:c r="G121" s="20" t="str">
        <x:v>observed_counterfactual;severe_failure;terminal</x:v>
      </x:c>
      <x:c r="H121" s="20" t="str">
        <x:v>browsergym/miniwob.click-dialog-2</x:v>
      </x:c>
      <x:c r="I121" s="6" t="str">
        <x:v>browsergym/miniwob.click-dialog-2</x:v>
      </x:c>
      <x:c r="J121" s="6" t="str">
        <x:v>cf-click-dialog-2-seed1009-hard_wrong_target</x:v>
      </x:c>
      <x:c r="K121" s="6" t="str">
        <x:v>0</x:v>
      </x:c>
      <x:c r="L121" s="20" t="str">
        <x:v>Click the button in the dialog box labeled "x".</x:v>
      </x:c>
      <x:c r="M121" s="20" t="str">
        <x:v>click("27", "left")</x:v>
      </x:c>
      <x:c r="N121" s="6" t="str">
        <x:v>0.0</x:v>
      </x:c>
      <x:c r="O121" s="20" t="str">
        <x:v>file:///root/autodl-tmp/miniwob-plusplus/miniwob/html/miniwob/click-dialog-2.html</x:v>
      </x:c>
      <x:c r="P121" s="20" t="str">
        <x:v>Click Dialog Task</x:v>
      </x:c>
      <x:c r="Q121" s="20" t="str">
        <x:v>RootWebArea 'Click Dialog Task', focused [17] dialog '', clickable, modal=False, describedby='dialog' StaticText '' [20] button 'Close', clickable [24] paragraph '' StaticText 'Urna. Sed. Sit pellentesque.' [27] button 'Cancel', clickable, focused [28] button 'OK', clickable</x:v>
      </x:c>
      <x:c r="R121" s="20" t="str">
        <x:v>file:///root/autodl-tmp/miniwob-plusplus/miniwob/html/miniwob/click-dialog-2.html</x:v>
      </x:c>
      <x:c r="S121" s="20" t="str">
        <x:v>Click Dialog Task</x:v>
      </x:c>
      <x:c r="T121" s="20" t="str">
        <x:v>RootWebArea 'Click Dialog Task', focused [17] dialog '', clickable, modal=False, describedby='dialog' StaticText '' [20] button 'Close', clickable [24] paragraph '' StaticText 'Urna. Sed. Sit pellentesque.' [27] button 'Cancel', clickable, focused [28] button 'OK', clickable</x:v>
      </x:c>
      <x:c r="U121" s="6" t="str">
        <x:v>0</x:v>
      </x:c>
      <x:c r="V121" s="6" t="str">
        <x:v>0</x:v>
      </x:c>
      <x:c r="W121" s="6" t="str">
        <x:v>0</x:v>
      </x:c>
      <x:c r="X121" s="6" t="str">
        <x:v>1</x:v>
      </x:c>
      <x:c r="Y121" s="6" t="str">
        <x:v>0</x:v>
      </x:c>
      <x:c r="Z121" s="6" t="str">
        <x:v>1</x:v>
      </x:c>
      <x:c r="AA121" s="6" t="str">
        <x:v>0.0</x:v>
      </x:c>
      <x:c r="AB121" s="20" t="str">
        <x:v>Codex证据复核v1：原始记录唯一匹配、环境实测、反事实配对ID完整、终止且非成功、奖励非正、队列标签与结果派生规则一致；非人工签字。</x:v>
      </x:c>
    </x:row>
    <x:row r="122" ht="46" customHeight="1">
      <x:c r="A122" s="6" t="str">
        <x:v>1</x:v>
      </x:c>
      <x:c r="B122" s="6" t="str">
        <x:v>e8f1bee737878341cf68</x:v>
      </x:c>
      <x:c r="C122" s="6" t="str">
        <x:v>evidence_approved</x:v>
      </x:c>
      <x:c r="D122" s="6" t="str">
        <x:v>codex-evidence-review-v1</x:v>
      </x:c>
      <x:c r="E122" s="22" t="n">
        <x:v>46244.40206471065</x:v>
      </x:c>
      <x:c r="F122" s="6" t="str">
        <x:v>20</x:v>
      </x:c>
      <x:c r="G122" s="20" t="str">
        <x:v>observed_counterfactual;severe_failure;terminal</x:v>
      </x:c>
      <x:c r="H122" s="20" t="str">
        <x:v>browsergym/miniwob.click-menu</x:v>
      </x:c>
      <x:c r="I122" s="6" t="str">
        <x:v>browsergym/miniwob.click-menu</x:v>
      </x:c>
      <x:c r="J122" s="6" t="str">
        <x:v>cf-click-menu-seed1003-hard_wrong_target</x:v>
      </x:c>
      <x:c r="K122" s="6" t="str">
        <x:v>0</x:v>
      </x:c>
      <x:c r="L122" s="20" t="str">
        <x:v>Select Noelyn&gt;Malissia</x:v>
      </x:c>
      <x:c r="M122" s="20" t="str">
        <x:v>click("19", "left")</x:v>
      </x:c>
      <x:c r="N122" s="6" t="str">
        <x:v>0.0</x:v>
      </x:c>
      <x:c r="O122" s="20" t="str">
        <x:v>file:///root/autodl-tmp/miniwob-plusplus/miniwob/html/miniwob/click-menu.html</x:v>
      </x:c>
      <x:c r="P122" s="20" t="str">
        <x:v>Click Menu Task</x:v>
      </x:c>
      <x:c r="Q122" s="20" t="str">
        <x:v>RootWebArea 'Click Menu Task', focused [17] menu '', clickable, orientation='vertical' image '' [19] menuitem 'Noelyn', hasPopup='menu' image '' [33] menuitem 'Cherrita', hasPopup='menu' image '' [51] menuitem 'Caty' image '' [53] menuitem 'Wilhelmine'</x:v>
      </x:c>
      <x:c r="R122" s="20" t="str">
        <x:v>file:///root/autodl-tmp/miniwob-plusplus/miniwob/html/miniwob/click-menu.html</x:v>
      </x:c>
      <x:c r="S122" s="20" t="str">
        <x:v>Click Menu Task</x:v>
      </x:c>
      <x:c r="T122" s="20" t="str">
        <x:v>RootWebArea 'Click Menu Task', focused [17] menu '', clickable, orientation='vertical' image '' [19] menuitem 'Noelyn', hasPopup='menu' [21] menu '', orientation='vertical' image '' [23] menuitem 'Malissia' image '' [25] menuitem 'Muire', hasPopup='menu' image '' [33] menuitem 'Cherrita', hasPopup='menu' image '' [51] menuitem 'Caty' image '' [53] menuitem 'Wilhelmine'</x:v>
      </x:c>
      <x:c r="U122" s="6" t="str">
        <x:v>0</x:v>
      </x:c>
      <x:c r="V122" s="6" t="str">
        <x:v>0</x:v>
      </x:c>
      <x:c r="W122" s="6" t="str">
        <x:v>0</x:v>
      </x:c>
      <x:c r="X122" s="6" t="str">
        <x:v>1</x:v>
      </x:c>
      <x:c r="Y122" s="6" t="str">
        <x:v>0</x:v>
      </x:c>
      <x:c r="Z122" s="6" t="str">
        <x:v>1</x:v>
      </x:c>
      <x:c r="AA122" s="6" t="str">
        <x:v>0.0</x:v>
      </x:c>
      <x:c r="AB122" s="20" t="str">
        <x:v>Codex证据复核v1：原始记录唯一匹配、环境实测、反事实配对ID完整、终止且非成功、奖励非正、队列标签与结果派生规则一致；非人工签字。</x:v>
      </x:c>
    </x:row>
    <x:row r="123" ht="46" customHeight="1">
      <x:c r="A123" s="6" t="str">
        <x:v>1</x:v>
      </x:c>
      <x:c r="B123" s="6" t="str">
        <x:v>83d794fff2e148c59c9d</x:v>
      </x:c>
      <x:c r="C123" s="6" t="str">
        <x:v>evidence_approved</x:v>
      </x:c>
      <x:c r="D123" s="6" t="str">
        <x:v>codex-evidence-review-v1</x:v>
      </x:c>
      <x:c r="E123" s="22" t="n">
        <x:v>46244.40206471065</x:v>
      </x:c>
      <x:c r="F123" s="6" t="str">
        <x:v>20</x:v>
      </x:c>
      <x:c r="G123" s="20" t="str">
        <x:v>observed_counterfactual;severe_failure;terminal</x:v>
      </x:c>
      <x:c r="H123" s="20" t="str">
        <x:v>browsergym/miniwob.enter-text-2</x:v>
      </x:c>
      <x:c r="I123" s="6" t="str">
        <x:v>browsergym/miniwob.enter-text-2</x:v>
      </x:c>
      <x:c r="J123" s="6" t="str">
        <x:v>cf-enter-text-2-seed1014-hard_wrong_target</x:v>
      </x:c>
      <x:c r="K123" s="6" t="str">
        <x:v>0</x:v>
      </x:c>
      <x:c r="L123" s="20" t="str">
        <x:v>Type "joye" in all upper case letters in the text input and press Submit.</x:v>
      </x:c>
      <x:c r="M123" s="20" t="str">
        <x:v>click("15", "left")</x:v>
      </x:c>
      <x:c r="N123" s="6" t="str">
        <x:v>0.0</x:v>
      </x:c>
      <x:c r="O123" s="20" t="str">
        <x:v>file:///root/autodl-tmp/miniwob-plusplus/miniwob/html/miniwob/enter-text-2.html</x:v>
      </x:c>
      <x:c r="P123" s="20" t="str">
        <x:v>Enter Text Task</x:v>
      </x:c>
      <x:c r="Q123" s="20" t="str">
        <x:v>RootWebArea 'Enter Text Task', focused [14] textbox '', clickable [15] button 'Submit', clickable</x:v>
      </x:c>
      <x:c r="R123" s="20" t="str">
        <x:v>file:///root/autodl-tmp/miniwob-plusplus/miniwob/html/miniwob/enter-text-2.html</x:v>
      </x:c>
      <x:c r="S123" s="20" t="str">
        <x:v>Enter Text Task</x:v>
      </x:c>
      <x:c r="T123" s="20" t="str">
        <x:v>RootWebArea 'Enter Text Task', focused [14] textbox '', clickable [15] button 'Submit', clickable, focused</x:v>
      </x:c>
      <x:c r="U123" s="6" t="str">
        <x:v>0</x:v>
      </x:c>
      <x:c r="V123" s="6" t="str">
        <x:v>0</x:v>
      </x:c>
      <x:c r="W123" s="6" t="str">
        <x:v>0</x:v>
      </x:c>
      <x:c r="X123" s="6" t="str">
        <x:v>1</x:v>
      </x:c>
      <x:c r="Y123" s="6" t="str">
        <x:v>0</x:v>
      </x:c>
      <x:c r="Z123" s="6" t="str">
        <x:v>1</x:v>
      </x:c>
      <x:c r="AA123" s="6" t="str">
        <x:v>0.0</x:v>
      </x:c>
      <x:c r="AB123" s="20" t="str">
        <x:v>Codex证据复核v1：原始记录唯一匹配、环境实测、反事实配对ID完整、终止且非成功、奖励非正、队列标签与结果派生规则一致；非人工签字。</x:v>
      </x:c>
    </x:row>
    <x:row r="124" ht="46" customHeight="1">
      <x:c r="A124" s="6" t="str">
        <x:v>1</x:v>
      </x:c>
      <x:c r="B124" s="6" t="str">
        <x:v>313e31361f94a7d5df5e</x:v>
      </x:c>
      <x:c r="C124" s="6" t="str">
        <x:v>evidence_approved</x:v>
      </x:c>
      <x:c r="D124" s="6" t="str">
        <x:v>codex-evidence-review-v1</x:v>
      </x:c>
      <x:c r="E124" s="22" t="n">
        <x:v>46244.40206471065</x:v>
      </x:c>
      <x:c r="F124" s="6" t="str">
        <x:v>20</x:v>
      </x:c>
      <x:c r="G124" s="20" t="str">
        <x:v>observed_counterfactual;severe_failure;terminal</x:v>
      </x:c>
      <x:c r="H124" s="20" t="str">
        <x:v>browsergym/miniwob.choose-list</x:v>
      </x:c>
      <x:c r="I124" s="6" t="str">
        <x:v>browsergym/miniwob.choose-list</x:v>
      </x:c>
      <x:c r="J124" s="6" t="str">
        <x:v>cf-choose-list-seed1018-hard_wrong_target</x:v>
      </x:c>
      <x:c r="K124" s="6" t="str">
        <x:v>0</x:v>
      </x:c>
      <x:c r="L124" s="20" t="str">
        <x:v>Select Chile from the list and click Submit.</x:v>
      </x:c>
      <x:c r="M124" s="20" t="str">
        <x:v>click("20", "left")</x:v>
      </x:c>
      <x:c r="N124" s="6" t="str">
        <x:v>0.0</x:v>
      </x:c>
      <x:c r="O124" s="20" t="str">
        <x:v>file:///root/autodl-tmp/miniwob-plusplus/miniwob/html/miniwob/choose-list.html</x:v>
      </x:c>
      <x:c r="P124" s="20" t="str">
        <x:v>Choose List Task</x:v>
      </x:c>
      <x:c r="Q124" s="20" t="str">
        <x:v>RootWebArea 'Choose List Task', focused [13] combobox '' value='Tajikistan', hasPopup='menu', expanded=False [20] button 'Submit', clickable</x:v>
      </x:c>
      <x:c r="R124" s="20" t="str">
        <x:v>file:///root/autodl-tmp/miniwob-plusplus/miniwob/html/miniwob/choose-list.html</x:v>
      </x:c>
      <x:c r="S124" s="20" t="str">
        <x:v>Choose List Task</x:v>
      </x:c>
      <x:c r="T124" s="20" t="str">
        <x:v>RootWebArea 'Choose List Task', focused [13] combobox '' value='Tajikistan', hasPopup='menu', expanded=False [20] button 'Submit', clickable, focused</x:v>
      </x:c>
      <x:c r="U124" s="6" t="str">
        <x:v>0</x:v>
      </x:c>
      <x:c r="V124" s="6" t="str">
        <x:v>0</x:v>
      </x:c>
      <x:c r="W124" s="6" t="str">
        <x:v>0</x:v>
      </x:c>
      <x:c r="X124" s="6" t="str">
        <x:v>1</x:v>
      </x:c>
      <x:c r="Y124" s="6" t="str">
        <x:v>0</x:v>
      </x:c>
      <x:c r="Z124" s="6" t="str">
        <x:v>1</x:v>
      </x:c>
      <x:c r="AA124" s="6" t="str">
        <x:v>0.0</x:v>
      </x:c>
      <x:c r="AB124" s="20" t="str">
        <x:v>Codex证据复核v1：原始记录唯一匹配、环境实测、反事实配对ID完整、终止且非成功、奖励非正、队列标签与结果派生规则一致；非人工签字。</x:v>
      </x:c>
    </x:row>
    <x:row r="125" ht="46" customHeight="1">
      <x:c r="A125" s="6" t="str">
        <x:v>1</x:v>
      </x:c>
      <x:c r="B125" s="6" t="str">
        <x:v>33379c6efae8a693e81c</x:v>
      </x:c>
      <x:c r="C125" s="6" t="str">
        <x:v>evidence_approved</x:v>
      </x:c>
      <x:c r="D125" s="6" t="str">
        <x:v>codex-evidence-review-v1</x:v>
      </x:c>
      <x:c r="E125" s="22" t="n">
        <x:v>46244.40206471065</x:v>
      </x:c>
      <x:c r="F125" s="6" t="str">
        <x:v>20</x:v>
      </x:c>
      <x:c r="G125" s="20" t="str">
        <x:v>observed_counterfactual;severe_failure;terminal</x:v>
      </x:c>
      <x:c r="H125" s="20" t="str">
        <x:v>browsergym/miniwob.enter-text-2</x:v>
      </x:c>
      <x:c r="I125" s="6" t="str">
        <x:v>browsergym/miniwob.enter-text-2</x:v>
      </x:c>
      <x:c r="J125" s="6" t="str">
        <x:v>cf-enter-text-2-seed1015-hard_wrong_target</x:v>
      </x:c>
      <x:c r="K125" s="6" t="str">
        <x:v>0</x:v>
      </x:c>
      <x:c r="L125" s="20" t="str">
        <x:v>Type "kanesha" in all upper case letters in the text input and press Submit.</x:v>
      </x:c>
      <x:c r="M125" s="20" t="str">
        <x:v>click("15", "left")</x:v>
      </x:c>
      <x:c r="N125" s="6" t="str">
        <x:v>0.0</x:v>
      </x:c>
      <x:c r="O125" s="20" t="str">
        <x:v>file:///root/autodl-tmp/miniwob-plusplus/miniwob/html/miniwob/enter-text-2.html</x:v>
      </x:c>
      <x:c r="P125" s="20" t="str">
        <x:v>Enter Text Task</x:v>
      </x:c>
      <x:c r="Q125" s="20" t="str">
        <x:v>RootWebArea 'Enter Text Task', focused [14] textbox '', clickable [15] button 'Submit', clickable</x:v>
      </x:c>
      <x:c r="R125" s="20" t="str">
        <x:v>file:///root/autodl-tmp/miniwob-plusplus/miniwob/html/miniwob/enter-text-2.html</x:v>
      </x:c>
      <x:c r="S125" s="20" t="str">
        <x:v>Enter Text Task</x:v>
      </x:c>
      <x:c r="T125" s="20" t="str">
        <x:v>RootWebArea 'Enter Text Task', focused [14] textbox '', clickable [15] button 'Submit', clickable, focused</x:v>
      </x:c>
      <x:c r="U125" s="6" t="str">
        <x:v>0</x:v>
      </x:c>
      <x:c r="V125" s="6" t="str">
        <x:v>0</x:v>
      </x:c>
      <x:c r="W125" s="6" t="str">
        <x:v>0</x:v>
      </x:c>
      <x:c r="X125" s="6" t="str">
        <x:v>1</x:v>
      </x:c>
      <x:c r="Y125" s="6" t="str">
        <x:v>0</x:v>
      </x:c>
      <x:c r="Z125" s="6" t="str">
        <x:v>1</x:v>
      </x:c>
      <x:c r="AA125" s="6" t="str">
        <x:v>0.0</x:v>
      </x:c>
      <x:c r="AB125" s="20" t="str">
        <x:v>Codex证据复核v1：原始记录唯一匹配、环境实测、反事实配对ID完整、终止且非成功、奖励非正、队列标签与结果派生规则一致；非人工签字。</x:v>
      </x:c>
    </x:row>
    <x:row r="126" ht="46" customHeight="1">
      <x:c r="A126" s="6" t="str">
        <x:v>1</x:v>
      </x:c>
      <x:c r="B126" s="6" t="str">
        <x:v>eb86945cb4938734ae3c</x:v>
      </x:c>
      <x:c r="C126" s="6" t="str">
        <x:v>evidence_approved</x:v>
      </x:c>
      <x:c r="D126" s="6" t="str">
        <x:v>codex-evidence-review-v1</x:v>
      </x:c>
      <x:c r="E126" s="22" t="n">
        <x:v>46244.40206471065</x:v>
      </x:c>
      <x:c r="F126" s="6" t="str">
        <x:v>20</x:v>
      </x:c>
      <x:c r="G126" s="20" t="str">
        <x:v>observed_counterfactual;severe_failure;terminal</x:v>
      </x:c>
      <x:c r="H126" s="20" t="str">
        <x:v>browsergym/miniwob.choose-list</x:v>
      </x:c>
      <x:c r="I126" s="6" t="str">
        <x:v>browsergym/miniwob.choose-list</x:v>
      </x:c>
      <x:c r="J126" s="6" t="str">
        <x:v>cf-choose-list-seed1035-hard_wrong_target</x:v>
      </x:c>
      <x:c r="K126" s="6" t="str">
        <x:v>0</x:v>
      </x:c>
      <x:c r="L126" s="20" t="str">
        <x:v>Select Liberia from the list and click Submit.</x:v>
      </x:c>
      <x:c r="M126" s="20" t="str">
        <x:v>click("19", "left")</x:v>
      </x:c>
      <x:c r="N126" s="6" t="str">
        <x:v>0.0</x:v>
      </x:c>
      <x:c r="O126" s="20" t="str">
        <x:v>file:///root/autodl-tmp/miniwob-plusplus/miniwob/html/miniwob/choose-list.html</x:v>
      </x:c>
      <x:c r="P126" s="20" t="str">
        <x:v>Choose List Task</x:v>
      </x:c>
      <x:c r="Q126" s="20" t="str">
        <x:v>RootWebArea 'Choose List Task', focused [13] combobox '' value='Bolivia', hasPopup='menu', expanded=False [19] button 'Submit', clickable</x:v>
      </x:c>
      <x:c r="R126" s="20" t="str">
        <x:v>file:///root/autodl-tmp/miniwob-plusplus/miniwob/html/miniwob/choose-list.html</x:v>
      </x:c>
      <x:c r="S126" s="20" t="str">
        <x:v>Choose List Task</x:v>
      </x:c>
      <x:c r="T126" s="20" t="str">
        <x:v>RootWebArea 'Choose List Task', focused [13] combobox '' value='Bolivia', hasPopup='menu', expanded=False [19] button 'Submit', clickable, focused</x:v>
      </x:c>
      <x:c r="U126" s="6" t="str">
        <x:v>0</x:v>
      </x:c>
      <x:c r="V126" s="6" t="str">
        <x:v>0</x:v>
      </x:c>
      <x:c r="W126" s="6" t="str">
        <x:v>0</x:v>
      </x:c>
      <x:c r="X126" s="6" t="str">
        <x:v>1</x:v>
      </x:c>
      <x:c r="Y126" s="6" t="str">
        <x:v>0</x:v>
      </x:c>
      <x:c r="Z126" s="6" t="str">
        <x:v>1</x:v>
      </x:c>
      <x:c r="AA126" s="6" t="str">
        <x:v>0.0</x:v>
      </x:c>
      <x:c r="AB126" s="20" t="str">
        <x:v>Codex证据复核v1：原始记录唯一匹配、环境实测、反事实配对ID完整、终止且非成功、奖励非正、队列标签与结果派生规则一致；非人工签字。</x:v>
      </x:c>
    </x:row>
    <x:row r="127" ht="46" customHeight="1">
      <x:c r="A127" s="6" t="str">
        <x:v>1</x:v>
      </x:c>
      <x:c r="B127" s="6" t="str">
        <x:v>f92770194beaf6462244</x:v>
      </x:c>
      <x:c r="C127" s="6" t="str">
        <x:v>evidence_approved</x:v>
      </x:c>
      <x:c r="D127" s="6" t="str">
        <x:v>codex-evidence-review-v1</x:v>
      </x:c>
      <x:c r="E127" s="22" t="n">
        <x:v>46244.40206471065</x:v>
      </x:c>
      <x:c r="F127" s="6" t="str">
        <x:v>20</x:v>
      </x:c>
      <x:c r="G127" s="20" t="str">
        <x:v>observed_counterfactual;severe_failure;terminal</x:v>
      </x:c>
      <x:c r="H127" s="20" t="str">
        <x:v>browsergym/miniwob.click-widget</x:v>
      </x:c>
      <x:c r="I127" s="6" t="str">
        <x:v>browsergym/miniwob.click-widget</x:v>
      </x:c>
      <x:c r="J127" s="6" t="str">
        <x:v>cf-click-widget-seed1032-hard_wrong_target</x:v>
      </x:c>
      <x:c r="K127" s="6" t="str">
        <x:v>0</x:v>
      </x:c>
      <x:c r="L127" s="20" t="str">
        <x:v>Click on a "textarea" widget.</x:v>
      </x:c>
      <x:c r="M127" s="20" t="str">
        <x:v>click("23", "left")</x:v>
      </x:c>
      <x:c r="N127" s="6" t="str">
        <x:v>0.0</x:v>
      </x:c>
      <x:c r="O127" s="20" t="str">
        <x:v>file:///root/autodl-tmp/miniwob-plusplus/miniwob/html/miniwob/click-widget.html</x:v>
      </x:c>
      <x:c r="P127" s="20" t="str">
        <x:v>Click Widget Task</x:v>
      </x:c>
      <x:c r="Q127" s="20" t="str">
        <x:v>RootWebArea 'Click Widget Task', focused [14] textbox '' value='uuEYg' StaticText 'uuEYg' [16] textbox '' value='b', clickable StaticText 'b' [18] textbox '' value='jVw' StaticText 'jVw' [20] LabelText '', clickable [21] radio 'I8', clickable, checked='false' StaticText 'I8' [23] button 'fXb1p'</x:v>
      </x:c>
      <x:c r="R127" s="20" t="str">
        <x:v>file:///root/autodl-tmp/miniwob-plusplus/miniwob/html/miniwob/click-widget.html</x:v>
      </x:c>
      <x:c r="S127" s="20" t="str">
        <x:v>Click Widget Task</x:v>
      </x:c>
      <x:c r="T127" s="20" t="str">
        <x:v>RootWebArea 'Click Widget Task', focused [14] textbox '' value='uuEYg' StaticText 'uuEYg' [16] textbox '' value='b', clickable StaticText 'b' [18] textbox '' value='jVw' StaticText 'jVw' [20] LabelText '', clickable [21] radio 'I8', clickable, checked='false' StaticText 'I8' [23] button 'fXb1p', focused</x:v>
      </x:c>
      <x:c r="U127" s="6" t="str">
        <x:v>0</x:v>
      </x:c>
      <x:c r="V127" s="6" t="str">
        <x:v>0</x:v>
      </x:c>
      <x:c r="W127" s="6" t="str">
        <x:v>0</x:v>
      </x:c>
      <x:c r="X127" s="6" t="str">
        <x:v>1</x:v>
      </x:c>
      <x:c r="Y127" s="6" t="str">
        <x:v>0</x:v>
      </x:c>
      <x:c r="Z127" s="6" t="str">
        <x:v>1</x:v>
      </x:c>
      <x:c r="AA127" s="6" t="str">
        <x:v>0.0</x:v>
      </x:c>
      <x:c r="AB127" s="20" t="str">
        <x:v>Codex证据复核v1：原始记录唯一匹配、环境实测、反事实配对ID完整、终止且非成功、奖励非正、队列标签与结果派生规则一致；非人工签字。</x:v>
      </x:c>
    </x:row>
    <x:row r="128" ht="46" customHeight="1">
      <x:c r="A128" s="6" t="str">
        <x:v>1</x:v>
      </x:c>
      <x:c r="B128" s="6" t="str">
        <x:v>1d00d32672c33a291203</x:v>
      </x:c>
      <x:c r="C128" s="6" t="str">
        <x:v>evidence_approved</x:v>
      </x:c>
      <x:c r="D128" s="6" t="str">
        <x:v>codex-evidence-review-v1</x:v>
      </x:c>
      <x:c r="E128" s="22" t="n">
        <x:v>46244.40206471065</x:v>
      </x:c>
      <x:c r="F128" s="6" t="str">
        <x:v>20</x:v>
      </x:c>
      <x:c r="G128" s="20" t="str">
        <x:v>observed_counterfactual;severe_failure;terminal</x:v>
      </x:c>
      <x:c r="H128" s="20" t="str">
        <x:v>browsergym/miniwob.click-tab</x:v>
      </x:c>
      <x:c r="I128" s="6" t="str">
        <x:v>browsergym/miniwob.click-tab</x:v>
      </x:c>
      <x:c r="J128" s="6" t="str">
        <x:v>cf-click-tab-seed1038-hard_wrong_target</x:v>
      </x:c>
      <x:c r="K128" s="6" t="str">
        <x:v>0</x:v>
      </x:c>
      <x:c r="L128" s="20" t="str">
        <x:v>Click on Tab #1.</x:v>
      </x:c>
      <x:c r="M128" s="20" t="str">
        <x:v>click("20", "left")</x:v>
      </x:c>
      <x:c r="N128" s="6" t="str">
        <x:v>0.0</x:v>
      </x:c>
      <x:c r="O128" s="20" t="str">
        <x:v>file:///root/autodl-tmp/miniwob-plusplus/miniwob/html/miniwob/click-tab.html</x:v>
      </x:c>
      <x:c r="P128" s="20" t="str">
        <x:v>Click Tab Task</x:v>
      </x:c>
      <x:c r="Q128"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'Egestas ac. Pulvinar consectetur. Sed velit, consectetur et vitae vulputate porttitor cursus consectetur ridiculus sit ultricies ut velit tincidunt. Id.'</x:v>
      </x:c>
      <x:c r="R128" s="20" t="str">
        <x:v>file:///root/autodl-tmp/miniwob-plusplus/miniwob/html/miniwob/click-tab.html</x:v>
      </x:c>
      <x:c r="S128" s="20" t="str">
        <x:v>Click Tab Task</x:v>
      </x:c>
      <x:c r="T128"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'Egestas ac. Pulvinar consectetur. Sed velit, consectetur et vitae vulputate porttitor cursus consectetur ridiculus sit ultricies ut velit tincidunt. Id.'</x:v>
      </x:c>
      <x:c r="U128" s="6" t="str">
        <x:v>0</x:v>
      </x:c>
      <x:c r="V128" s="6" t="str">
        <x:v>0</x:v>
      </x:c>
      <x:c r="W128" s="6" t="str">
        <x:v>0</x:v>
      </x:c>
      <x:c r="X128" s="6" t="str">
        <x:v>1</x:v>
      </x:c>
      <x:c r="Y128" s="6" t="str">
        <x:v>0</x:v>
      </x:c>
      <x:c r="Z128" s="6" t="str">
        <x:v>1</x:v>
      </x:c>
      <x:c r="AA128" s="6" t="str">
        <x:v>0.0</x:v>
      </x:c>
      <x:c r="AB128" s="20" t="str">
        <x:v>Codex证据复核v1：原始记录唯一匹配、环境实测、反事实配对ID完整、终止且非成功、奖励非正、队列标签与结果派生规则一致；非人工签字。</x:v>
      </x:c>
    </x:row>
    <x:row r="129" ht="46" customHeight="1">
      <x:c r="A129" s="6" t="str">
        <x:v>1</x:v>
      </x:c>
      <x:c r="B129" s="6" t="str">
        <x:v>2ba76ea2ffc27037073c</x:v>
      </x:c>
      <x:c r="C129" s="6" t="str">
        <x:v>evidence_approved</x:v>
      </x:c>
      <x:c r="D129" s="6" t="str">
        <x:v>codex-evidence-review-v1</x:v>
      </x:c>
      <x:c r="E129" s="22" t="n">
        <x:v>46244.40206471065</x:v>
      </x:c>
      <x:c r="F129" s="6" t="str">
        <x:v>20</x:v>
      </x:c>
      <x:c r="G129" s="20" t="str">
        <x:v>observed_counterfactual;severe_failure;terminal</x:v>
      </x:c>
      <x:c r="H129" s="20" t="str">
        <x:v>browsergym/miniwob.click-widget</x:v>
      </x:c>
      <x:c r="I129" s="6" t="str">
        <x:v>browsergym/miniwob.click-widget</x:v>
      </x:c>
      <x:c r="J129" s="6" t="str">
        <x:v>cf-click-widget-seed1023-hard_wrong_target</x:v>
      </x:c>
      <x:c r="K129" s="6" t="str">
        <x:v>0</x:v>
      </x:c>
      <x:c r="L129" s="20" t="str">
        <x:v>Click on a "checkbox" widget.</x:v>
      </x:c>
      <x:c r="M129" s="20" t="str">
        <x:v>click("19", "left")</x:v>
      </x:c>
      <x:c r="N129" s="6" t="str">
        <x:v>0.0</x:v>
      </x:c>
      <x:c r="O129" s="20" t="str">
        <x:v>file:///root/autodl-tmp/miniwob-plusplus/miniwob/html/miniwob/click-widget.html</x:v>
      </x:c>
      <x:c r="P129" s="20" t="str">
        <x:v>Click Widget Task</x:v>
      </x:c>
      <x:c r="Q129" s="20" t="str">
        <x:v>RootWebArea 'Click Widget Task', focused [14] button 'Tg7Ck' [16] textbox '' value='6i', clickable StaticText '6i' [18] LabelText '', clickable [19] radio 'lgpM', clickable, checked='false' StaticText 'lgpM' [21] textbox '' value='DQlRy' StaticText 'DQlRy' [23] LabelText '', clickable [24] checkbox 'h', clickable, checked='false' StaticText 'h'</x:v>
      </x:c>
      <x:c r="R129" s="20" t="str">
        <x:v>file:///root/autodl-tmp/miniwob-plusplus/miniwob/html/miniwob/click-widget.html</x:v>
      </x:c>
      <x:c r="S129" s="20" t="str">
        <x:v>Click Widget Task</x:v>
      </x:c>
      <x:c r="T129" s="20" t="str">
        <x:v>RootWebArea 'Click Widget Task', focused [14] button 'Tg7Ck' [16] textbox '' value='6i', clickable StaticText '6i' [18] LabelText '', clickable [19] radio 'lgpM', clickable, focused, checked='true' StaticText 'lgpM' [21] textbox '' value='DQlRy' StaticText 'DQlRy' [23] LabelText '', clickable [24] checkbox 'h', clickable, checked='false' StaticText 'h'</x:v>
      </x:c>
      <x:c r="U129" s="6" t="str">
        <x:v>0</x:v>
      </x:c>
      <x:c r="V129" s="6" t="str">
        <x:v>0</x:v>
      </x:c>
      <x:c r="W129" s="6" t="str">
        <x:v>0</x:v>
      </x:c>
      <x:c r="X129" s="6" t="str">
        <x:v>1</x:v>
      </x:c>
      <x:c r="Y129" s="6" t="str">
        <x:v>0</x:v>
      </x:c>
      <x:c r="Z129" s="6" t="str">
        <x:v>1</x:v>
      </x:c>
      <x:c r="AA129" s="6" t="str">
        <x:v>0.0</x:v>
      </x:c>
      <x:c r="AB129" s="20" t="str">
        <x:v>Codex证据复核v1：原始记录唯一匹配、环境实测、反事实配对ID完整、终止且非成功、奖励非正、队列标签与结果派生规则一致；非人工签字。</x:v>
      </x:c>
    </x:row>
    <x:row r="130" ht="46" customHeight="1">
      <x:c r="A130" s="6" t="str">
        <x:v>1</x:v>
      </x:c>
      <x:c r="B130" s="6" t="str">
        <x:v>bb609d069448e51cefcc</x:v>
      </x:c>
      <x:c r="C130" s="6" t="str">
        <x:v>evidence_approved</x:v>
      </x:c>
      <x:c r="D130" s="6" t="str">
        <x:v>codex-evidence-review-v1</x:v>
      </x:c>
      <x:c r="E130" s="22" t="n">
        <x:v>46244.40206471065</x:v>
      </x:c>
      <x:c r="F130" s="6" t="str">
        <x:v>20</x:v>
      </x:c>
      <x:c r="G130" s="20" t="str">
        <x:v>observed_counterfactual;severe_failure;terminal</x:v>
      </x:c>
      <x:c r="H130" s="20" t="str">
        <x:v>browsergym/miniwob.click-widget</x:v>
      </x:c>
      <x:c r="I130" s="6" t="str">
        <x:v>browsergym/miniwob.click-widget</x:v>
      </x:c>
      <x:c r="J130" s="6" t="str">
        <x:v>cf-click-widget-seed1015-wrong_action_type</x:v>
      </x:c>
      <x:c r="K130" s="6" t="str">
        <x:v>0</x:v>
      </x:c>
      <x:c r="L130" s="20" t="str">
        <x:v>Click on a "radio" widget.</x:v>
      </x:c>
      <x:c r="M130" s="20" t="str">
        <x:v>click("23", "left")</x:v>
      </x:c>
      <x:c r="N130" s="6" t="str">
        <x:v>0.0</x:v>
      </x:c>
      <x:c r="O130" s="20" t="str">
        <x:v>file:///root/autodl-tmp/miniwob-plusplus/miniwob/html/miniwob/click-widget.html</x:v>
      </x:c>
      <x:c r="P130" s="20" t="str">
        <x:v>Click Widget Task</x:v>
      </x:c>
      <x:c r="Q130" s="20" t="str">
        <x:v>RootWebArea 'Click Widget Task', focused [14] textbox '' value='ix7lr', clickable StaticText 'ix7lr' [16] textbox '' value='d1tcH', clickable StaticText 'd1tcH' [18] textbox '' value='Gj2' StaticText 'Gj2' [20] LabelText '', clickable [21] radio 'CoHh', clickable, checked='false' StaticText 'CoHh' [23] button '1'</x:v>
      </x:c>
      <x:c r="R130" s="20" t="str">
        <x:v>file:///root/autodl-tmp/miniwob-plusplus/miniwob/html/miniwob/click-widget.html</x:v>
      </x:c>
      <x:c r="S130" s="20" t="str">
        <x:v>Click Widget Task</x:v>
      </x:c>
      <x:c r="T130" s="20" t="str">
        <x:v>RootWebArea 'Click Widget Task', focused [14] textbox '' value='ix7lr', clickable StaticText 'ix7lr' [16] textbox '' value='d1tcH', clickable StaticText 'd1tcH' [18] textbox '' value='Gj2' StaticText 'Gj2' [20] LabelText '', clickable [21] radio 'CoHh', clickable, checked='false' StaticText 'CoHh' [23] button '1', focused</x:v>
      </x:c>
      <x:c r="U130" s="6" t="str">
        <x:v>0</x:v>
      </x:c>
      <x:c r="V130" s="6" t="str">
        <x:v>0</x:v>
      </x:c>
      <x:c r="W130" s="6" t="str">
        <x:v>0</x:v>
      </x:c>
      <x:c r="X130" s="6" t="str">
        <x:v>1</x:v>
      </x:c>
      <x:c r="Y130" s="6" t="str">
        <x:v>0</x:v>
      </x:c>
      <x:c r="Z130" s="6" t="str">
        <x:v>1</x:v>
      </x:c>
      <x:c r="AA130" s="6" t="str">
        <x:v>0.0</x:v>
      </x:c>
      <x:c r="AB130" s="20" t="str">
        <x:v>Codex证据复核v1：原始记录唯一匹配、环境实测、反事实配对ID完整、终止且非成功、奖励非正、队列标签与结果派生规则一致；非人工签字。</x:v>
      </x:c>
    </x:row>
    <x:row r="131" ht="46" customHeight="1">
      <x:c r="A131" s="6" t="str">
        <x:v>1</x:v>
      </x:c>
      <x:c r="B131" s="6" t="str">
        <x:v>fb0d85256ef1923d23d5</x:v>
      </x:c>
      <x:c r="C131" s="6" t="str">
        <x:v>evidence_approved</x:v>
      </x:c>
      <x:c r="D131" s="6" t="str">
        <x:v>codex-evidence-review-v1</x:v>
      </x:c>
      <x:c r="E131" s="22" t="n">
        <x:v>46244.40206471065</x:v>
      </x:c>
      <x:c r="F131" s="6" t="str">
        <x:v>20</x:v>
      </x:c>
      <x:c r="G131" s="20" t="str">
        <x:v>observed_counterfactual;severe_failure;terminal</x:v>
      </x:c>
      <x:c r="H131" s="20" t="str">
        <x:v>browsergym/miniwob.enter-password</x:v>
      </x:c>
      <x:c r="I131" s="6" t="str">
        <x:v>browsergym/miniwob.enter-password</x:v>
      </x:c>
      <x:c r="J131" s="6" t="str">
        <x:v>cf-enter-password-seed1034-hard_wrong_target</x:v>
      </x:c>
      <x:c r="K131" s="6" t="str">
        <x:v>0</x:v>
      </x:c>
      <x:c r="L131" s="20" t="str">
        <x:v>Enter the password "s5" into both text fields and press submit.</x:v>
      </x:c>
      <x:c r="M131" s="20" t="str">
        <x:v>click("20", "left")</x:v>
      </x:c>
      <x:c r="N131" s="6" t="str">
        <x:v>0.0</x:v>
      </x:c>
      <x:c r="O131" s="20" t="str">
        <x:v>file:///root/autodl-tmp/miniwob-plusplus/miniwob/html/miniwob/enter-password.html</x:v>
      </x:c>
      <x:c r="P131" s="20" t="str">
        <x:v>Enter Password Task</x:v>
      </x:c>
      <x:c r="Q131" s="20" t="str">
        <x:v>RootWebArea 'Enter Password Task', focused [14] paragraph '' [15] LabelText '' StaticText 'Password' [16] textbox '', clickable [17] paragraph '' [18] LabelText '' StaticText 'Verify password' [19] textbox '', clickable [20] button 'Submit', clickable</x:v>
      </x:c>
      <x:c r="R131" s="20" t="str">
        <x:v>file:///root/autodl-tmp/miniwob-plusplus/miniwob/html/miniwob/enter-password.html</x:v>
      </x:c>
      <x:c r="S131" s="20" t="str">
        <x:v>Enter Password Task</x:v>
      </x:c>
      <x:c r="T131" s="20" t="str">
        <x:v>RootWebArea 'Enter Password Task', focused [14] paragraph '' [15] LabelText '' StaticText 'Password' [16] textbox '', clickable [17] paragraph '' [18] LabelText '' StaticText 'Verify password' [19] textbox '', clickable [20] button 'Submit', clickable, focused</x:v>
      </x:c>
      <x:c r="U131" s="6" t="str">
        <x:v>0</x:v>
      </x:c>
      <x:c r="V131" s="6" t="str">
        <x:v>0</x:v>
      </x:c>
      <x:c r="W131" s="6" t="str">
        <x:v>0</x:v>
      </x:c>
      <x:c r="X131" s="6" t="str">
        <x:v>1</x:v>
      </x:c>
      <x:c r="Y131" s="6" t="str">
        <x:v>0</x:v>
      </x:c>
      <x:c r="Z131" s="6" t="str">
        <x:v>1</x:v>
      </x:c>
      <x:c r="AA131" s="6" t="str">
        <x:v>0.0</x:v>
      </x:c>
      <x:c r="AB131" s="20" t="str">
        <x:v>Codex证据复核v1：原始记录唯一匹配、环境实测、反事实配对ID完整、终止且非成功、奖励非正、队列标签与结果派生规则一致；非人工签字。</x:v>
      </x:c>
    </x:row>
    <x:row r="132" ht="46" customHeight="1">
      <x:c r="A132" s="6" t="str">
        <x:v>1</x:v>
      </x:c>
      <x:c r="B132" s="6" t="str">
        <x:v>93b406de3a62f216b8ca</x:v>
      </x:c>
      <x:c r="C132" s="6" t="str">
        <x:v>evidence_approved</x:v>
      </x:c>
      <x:c r="D132" s="6" t="str">
        <x:v>codex-evidence-review-v1</x:v>
      </x:c>
      <x:c r="E132" s="22" t="n">
        <x:v>46244.40206471065</x:v>
      </x:c>
      <x:c r="F132" s="6" t="str">
        <x:v>20</x:v>
      </x:c>
      <x:c r="G132" s="20" t="str">
        <x:v>observed_counterfactual;severe_failure;terminal</x:v>
      </x:c>
      <x:c r="H132" s="20" t="str">
        <x:v>browsergym/miniwob.enter-password</x:v>
      </x:c>
      <x:c r="I132" s="6" t="str">
        <x:v>browsergym/miniwob.enter-password</x:v>
      </x:c>
      <x:c r="J132" s="6" t="str">
        <x:v>cf-enter-password-seed1029-hard_wrong_target</x:v>
      </x:c>
      <x:c r="K132" s="6" t="str">
        <x:v>0</x:v>
      </x:c>
      <x:c r="L132" s="20" t="str">
        <x:v>Enter the password "5fJ" into both text fields and press submit.</x:v>
      </x:c>
      <x:c r="M132" s="20" t="str">
        <x:v>click("20", "left")</x:v>
      </x:c>
      <x:c r="N132" s="6" t="str">
        <x:v>0.0</x:v>
      </x:c>
      <x:c r="O132" s="20" t="str">
        <x:v>file:///root/autodl-tmp/miniwob-plusplus/miniwob/html/miniwob/enter-password.html</x:v>
      </x:c>
      <x:c r="P132" s="20" t="str">
        <x:v>Enter Password Task</x:v>
      </x:c>
      <x:c r="Q132" s="20" t="str">
        <x:v>RootWebArea 'Enter Password Task', focused [14] paragraph '' [15] LabelText '' StaticText 'Password' [16] textbox '', clickable [17] paragraph '' [18] LabelText '' StaticText 'Verify password' [19] textbox '', clickable [20] button 'Submit', clickable</x:v>
      </x:c>
      <x:c r="R132" s="20" t="str">
        <x:v>file:///root/autodl-tmp/miniwob-plusplus/miniwob/html/miniwob/enter-password.html</x:v>
      </x:c>
      <x:c r="S132" s="20" t="str">
        <x:v>Enter Password Task</x:v>
      </x:c>
      <x:c r="T132" s="20" t="str">
        <x:v>RootWebArea 'Enter Password Task', focused [14] paragraph '' [15] LabelText '' StaticText 'Password' [16] textbox '', clickable [17] paragraph '' [18] LabelText '' StaticText 'Verify password' [19] textbox '', clickable [20] button 'Submit', clickable, focused</x:v>
      </x:c>
      <x:c r="U132" s="6" t="str">
        <x:v>0</x:v>
      </x:c>
      <x:c r="V132" s="6" t="str">
        <x:v>0</x:v>
      </x:c>
      <x:c r="W132" s="6" t="str">
        <x:v>0</x:v>
      </x:c>
      <x:c r="X132" s="6" t="str">
        <x:v>1</x:v>
      </x:c>
      <x:c r="Y132" s="6" t="str">
        <x:v>0</x:v>
      </x:c>
      <x:c r="Z132" s="6" t="str">
        <x:v>1</x:v>
      </x:c>
      <x:c r="AA132" s="6" t="str">
        <x:v>0.0</x:v>
      </x:c>
      <x:c r="AB132" s="20" t="str">
        <x:v>Codex证据复核v1：原始记录唯一匹配、环境实测、反事实配对ID完整、终止且非成功、奖励非正、队列标签与结果派生规则一致；非人工签字。</x:v>
      </x:c>
    </x:row>
    <x:row r="133" ht="46" customHeight="1">
      <x:c r="A133" s="6" t="str">
        <x:v>1</x:v>
      </x:c>
      <x:c r="B133" s="6" t="str">
        <x:v>15ae621e809ef4f6900c</x:v>
      </x:c>
      <x:c r="C133" s="6" t="str">
        <x:v>evidence_approved</x:v>
      </x:c>
      <x:c r="D133" s="6" t="str">
        <x:v>codex-evidence-review-v1</x:v>
      </x:c>
      <x:c r="E133" s="22" t="n">
        <x:v>46244.40206471065</x:v>
      </x:c>
      <x:c r="F133" s="6" t="str">
        <x:v>20</x:v>
      </x:c>
      <x:c r="G133" s="20" t="str">
        <x:v>observed_counterfactual;severe_failure;terminal</x:v>
      </x:c>
      <x:c r="H133" s="20" t="str">
        <x:v>browsergym/miniwob.choose-list</x:v>
      </x:c>
      <x:c r="I133" s="6" t="str">
        <x:v>browsergym/miniwob.choose-list</x:v>
      </x:c>
      <x:c r="J133" s="6" t="str">
        <x:v>cf-choose-list-seed1036-hard_wrong_target</x:v>
      </x:c>
      <x:c r="K133" s="6" t="str">
        <x:v>0</x:v>
      </x:c>
      <x:c r="L133" s="20" t="str">
        <x:v>Select Maia from the list and click Submit.</x:v>
      </x:c>
      <x:c r="M133" s="20" t="str">
        <x:v>click("18", "left")</x:v>
      </x:c>
      <x:c r="N133" s="6" t="str">
        <x:v>0.0</x:v>
      </x:c>
      <x:c r="O133" s="20" t="str">
        <x:v>file:///root/autodl-tmp/miniwob-plusplus/miniwob/html/miniwob/choose-list.html</x:v>
      </x:c>
      <x:c r="P133" s="20" t="str">
        <x:v>Choose List Task</x:v>
      </x:c>
      <x:c r="Q133" s="20" t="str">
        <x:v>RootWebArea 'Choose List Task', focused [13] combobox '' value='Callida', hasPopup='menu', expanded=False [18] button 'Submit', clickable</x:v>
      </x:c>
      <x:c r="R133" s="20" t="str">
        <x:v>file:///root/autodl-tmp/miniwob-plusplus/miniwob/html/miniwob/choose-list.html</x:v>
      </x:c>
      <x:c r="S133" s="20" t="str">
        <x:v>Choose List Task</x:v>
      </x:c>
      <x:c r="T133" s="20" t="str">
        <x:v>RootWebArea 'Choose List Task', focused [13] combobox '' value='Callida', hasPopup='menu', expanded=False [18] button 'Submit', clickable, focused</x:v>
      </x:c>
      <x:c r="U133" s="6" t="str">
        <x:v>0</x:v>
      </x:c>
      <x:c r="V133" s="6" t="str">
        <x:v>0</x:v>
      </x:c>
      <x:c r="W133" s="6" t="str">
        <x:v>0</x:v>
      </x:c>
      <x:c r="X133" s="6" t="str">
        <x:v>1</x:v>
      </x:c>
      <x:c r="Y133" s="6" t="str">
        <x:v>0</x:v>
      </x:c>
      <x:c r="Z133" s="6" t="str">
        <x:v>1</x:v>
      </x:c>
      <x:c r="AA133" s="6" t="str">
        <x:v>0.0</x:v>
      </x:c>
      <x:c r="AB133" s="20" t="str">
        <x:v>Codex证据复核v1：原始记录唯一匹配、环境实测、反事实配对ID完整、终止且非成功、奖励非正、队列标签与结果派生规则一致；非人工签字。</x:v>
      </x:c>
    </x:row>
    <x:row r="134" ht="46" customHeight="1">
      <x:c r="A134" s="6" t="str">
        <x:v>1</x:v>
      </x:c>
      <x:c r="B134" s="6" t="str">
        <x:v>8c470fb99cb3a282b692</x:v>
      </x:c>
      <x:c r="C134" s="6" t="str">
        <x:v>evidence_approved</x:v>
      </x:c>
      <x:c r="D134" s="6" t="str">
        <x:v>codex-evidence-review-v1</x:v>
      </x:c>
      <x:c r="E134" s="22" t="n">
        <x:v>46244.40206471065</x:v>
      </x:c>
      <x:c r="F134" s="6" t="str">
        <x:v>20</x:v>
      </x:c>
      <x:c r="G134" s="20" t="str">
        <x:v>observed_counterfactual;severe_failure;terminal</x:v>
      </x:c>
      <x:c r="H134" s="20" t="str">
        <x:v>browsergym/miniwob.choose-list</x:v>
      </x:c>
      <x:c r="I134" s="6" t="str">
        <x:v>browsergym/miniwob.choose-list</x:v>
      </x:c>
      <x:c r="J134" s="6" t="str">
        <x:v>cf-choose-list-seed1002-wrong_action_type</x:v>
      </x:c>
      <x:c r="K134" s="6" t="str">
        <x:v>0</x:v>
      </x:c>
      <x:c r="L134" s="20" t="str">
        <x:v>Select India from the list and click Submit.</x:v>
      </x:c>
      <x:c r="M134" s="20" t="str">
        <x:v>click("18", "left")</x:v>
      </x:c>
      <x:c r="N134" s="6" t="str">
        <x:v>0.0</x:v>
      </x:c>
      <x:c r="O134" s="20" t="str">
        <x:v>file:///root/autodl-tmp/miniwob-plusplus/miniwob/html/miniwob/choose-list.html</x:v>
      </x:c>
      <x:c r="P134" s="20" t="str">
        <x:v>Choose List Task</x:v>
      </x:c>
      <x:c r="Q134" s="20" t="str">
        <x:v>RootWebArea 'Choose List Task', focused [13] combobox '' value='Grenada', hasPopup='menu', expanded=False [18] button 'Submit', clickable</x:v>
      </x:c>
      <x:c r="R134" s="20" t="str">
        <x:v>file:///root/autodl-tmp/miniwob-plusplus/miniwob/html/miniwob/choose-list.html</x:v>
      </x:c>
      <x:c r="S134" s="20" t="str">
        <x:v>Choose List Task</x:v>
      </x:c>
      <x:c r="T134" s="20" t="str">
        <x:v>RootWebArea 'Choose List Task', focused [13] combobox '' value='Grenada', hasPopup='menu', expanded=False [18] button 'Submit', clickable, focused</x:v>
      </x:c>
      <x:c r="U134" s="6" t="str">
        <x:v>0</x:v>
      </x:c>
      <x:c r="V134" s="6" t="str">
        <x:v>0</x:v>
      </x:c>
      <x:c r="W134" s="6" t="str">
        <x:v>0</x:v>
      </x:c>
      <x:c r="X134" s="6" t="str">
        <x:v>1</x:v>
      </x:c>
      <x:c r="Y134" s="6" t="str">
        <x:v>0</x:v>
      </x:c>
      <x:c r="Z134" s="6" t="str">
        <x:v>1</x:v>
      </x:c>
      <x:c r="AA134" s="6" t="str">
        <x:v>0.0</x:v>
      </x:c>
      <x:c r="AB134" s="20" t="str">
        <x:v>Codex证据复核v1：原始记录唯一匹配、环境实测、反事实配对ID完整、终止且非成功、奖励非正、队列标签与结果派生规则一致；非人工签字。</x:v>
      </x:c>
    </x:row>
    <x:row r="135" ht="46" customHeight="1">
      <x:c r="A135" s="6" t="str">
        <x:v>1</x:v>
      </x:c>
      <x:c r="B135" s="6" t="str">
        <x:v>a23a0892285cb62a4228</x:v>
      </x:c>
      <x:c r="C135" s="6" t="str">
        <x:v>evidence_approved</x:v>
      </x:c>
      <x:c r="D135" s="6" t="str">
        <x:v>codex-evidence-review-v1</x:v>
      </x:c>
      <x:c r="E135" s="22" t="n">
        <x:v>46244.40206471065</x:v>
      </x:c>
      <x:c r="F135" s="6" t="str">
        <x:v>20</x:v>
      </x:c>
      <x:c r="G135" s="20" t="str">
        <x:v>observed_counterfactual;severe_failure;terminal</x:v>
      </x:c>
      <x:c r="H135" s="20" t="str">
        <x:v>browsergym/miniwob.click-test-2</x:v>
      </x:c>
      <x:c r="I135" s="6" t="str">
        <x:v>browsergym/miniwob.click-test-2</x:v>
      </x:c>
      <x:c r="J135" s="6" t="str">
        <x:v>cf-click-test-2-seed1029-hard_wrong_target</x:v>
      </x:c>
      <x:c r="K135" s="6" t="str">
        <x:v>0</x:v>
      </x:c>
      <x:c r="L135" s="20" t="str">
        <x:v>Click button ONE.</x:v>
      </x:c>
      <x:c r="M135" s="20" t="str">
        <x:v>click("14", "left")</x:v>
      </x:c>
      <x:c r="N135" s="6" t="str">
        <x:v>0.0</x:v>
      </x:c>
      <x:c r="O135" s="20" t="str">
        <x:v>file:///root/autodl-tmp/miniwob-plusplus/miniwob/html/miniwob/click-test-2.html</x:v>
      </x:c>
      <x:c r="P135" s="20" t="str">
        <x:v>Click Test Task</x:v>
      </x:c>
      <x:c r="Q135" s="20" t="str">
        <x:v>RootWebArea 'Click Test Task', focused [13] button 'ONE', clickable [14] button 'TWO', clickable</x:v>
      </x:c>
      <x:c r="R135" s="20" t="str">
        <x:v>file:///root/autodl-tmp/miniwob-plusplus/miniwob/html/miniwob/click-test-2.html</x:v>
      </x:c>
      <x:c r="S135" s="20" t="str">
        <x:v>Click Test Task</x:v>
      </x:c>
      <x:c r="T135" s="20" t="str">
        <x:v>RootWebArea 'Click Test Task', focused [13] button 'ONE', clickable [14] button 'TWO', clickable, focused</x:v>
      </x:c>
      <x:c r="U135" s="6" t="str">
        <x:v>0</x:v>
      </x:c>
      <x:c r="V135" s="6" t="str">
        <x:v>0</x:v>
      </x:c>
      <x:c r="W135" s="6" t="str">
        <x:v>0</x:v>
      </x:c>
      <x:c r="X135" s="6" t="str">
        <x:v>1</x:v>
      </x:c>
      <x:c r="Y135" s="6" t="str">
        <x:v>0</x:v>
      </x:c>
      <x:c r="Z135" s="6" t="str">
        <x:v>1</x:v>
      </x:c>
      <x:c r="AA135" s="6" t="str">
        <x:v>0.0</x:v>
      </x:c>
      <x:c r="AB135" s="20" t="str">
        <x:v>Codex证据复核v1：原始记录唯一匹配、环境实测、反事实配对ID完整、终止且非成功、奖励非正、队列标签与结果派生规则一致；非人工签字。</x:v>
      </x:c>
    </x:row>
    <x:row r="136" ht="46" customHeight="1">
      <x:c r="A136" s="6" t="str">
        <x:v>1</x:v>
      </x:c>
      <x:c r="B136" s="6" t="str">
        <x:v>db3bb4e12acc11a1aebd</x:v>
      </x:c>
      <x:c r="C136" s="6" t="str">
        <x:v>evidence_approved</x:v>
      </x:c>
      <x:c r="D136" s="6" t="str">
        <x:v>codex-evidence-review-v1</x:v>
      </x:c>
      <x:c r="E136" s="22" t="n">
        <x:v>46244.40206471065</x:v>
      </x:c>
      <x:c r="F136" s="6" t="str">
        <x:v>20</x:v>
      </x:c>
      <x:c r="G136" s="20" t="str">
        <x:v>observed_counterfactual;severe_failure;terminal</x:v>
      </x:c>
      <x:c r="H136" s="20" t="str">
        <x:v>browsergym/miniwob.click-dialog-2</x:v>
      </x:c>
      <x:c r="I136" s="6" t="str">
        <x:v>browsergym/miniwob.click-dialog-2</x:v>
      </x:c>
      <x:c r="J136" s="6" t="str">
        <x:v>cf-click-dialog-2-seed1035-hard_wrong_target</x:v>
      </x:c>
      <x:c r="K136" s="6" t="str">
        <x:v>0</x:v>
      </x:c>
      <x:c r="L136" s="20" t="str">
        <x:v>Click the button in the dialog box labeled "x".</x:v>
      </x:c>
      <x:c r="M136" s="20" t="str">
        <x:v>click("27", "left")</x:v>
      </x:c>
      <x:c r="N136" s="6" t="str">
        <x:v>0.0</x:v>
      </x:c>
      <x:c r="O136" s="20" t="str">
        <x:v>file:///root/autodl-tmp/miniwob-plusplus/miniwob/html/miniwob/click-dialog-2.html</x:v>
      </x:c>
      <x:c r="P136" s="20" t="str">
        <x:v>Click Dialog Task</x:v>
      </x:c>
      <x:c r="Q136" s="20" t="str">
        <x:v>RootWebArea 'Click Dialog Task', focused [17] dialog '', clickable, modal=False, describedby='dialog' StaticText '' [20] button 'Close', clickable [24] paragraph '' StaticText 'Mollis fringilla purus maecenas. Lacus nibh.' [27] button 'Cancel', clickable, focused [28] button 'OK', clickable</x:v>
      </x:c>
      <x:c r="R136" s="20" t="str">
        <x:v>file:///root/autodl-tmp/miniwob-plusplus/miniwob/html/miniwob/click-dialog-2.html</x:v>
      </x:c>
      <x:c r="S136" s="20" t="str">
        <x:v>Click Dialog Task</x:v>
      </x:c>
      <x:c r="T136" s="20" t="str">
        <x:v>RootWebArea 'Click Dialog Task', focused [17] dialog '', clickable, modal=False, describedby='dialog' StaticText '' [20] button 'Close', clickable [24] paragraph '' StaticText 'Mollis fringilla purus maecenas. Lacus nibh.' [27] button 'Cancel', clickable, focused [28] button 'OK', clickable</x:v>
      </x:c>
      <x:c r="U136" s="6" t="str">
        <x:v>0</x:v>
      </x:c>
      <x:c r="V136" s="6" t="str">
        <x:v>0</x:v>
      </x:c>
      <x:c r="W136" s="6" t="str">
        <x:v>0</x:v>
      </x:c>
      <x:c r="X136" s="6" t="str">
        <x:v>1</x:v>
      </x:c>
      <x:c r="Y136" s="6" t="str">
        <x:v>0</x:v>
      </x:c>
      <x:c r="Z136" s="6" t="str">
        <x:v>1</x:v>
      </x:c>
      <x:c r="AA136" s="6" t="str">
        <x:v>0.0</x:v>
      </x:c>
      <x:c r="AB136" s="20" t="str">
        <x:v>Codex证据复核v1：原始记录唯一匹配、环境实测、反事实配对ID完整、终止且非成功、奖励非正、队列标签与结果派生规则一致；非人工签字。</x:v>
      </x:c>
    </x:row>
    <x:row r="137" ht="46" customHeight="1">
      <x:c r="A137" s="6" t="str">
        <x:v>1</x:v>
      </x:c>
      <x:c r="B137" s="6" t="str">
        <x:v>589f41c63e674cbe3fde</x:v>
      </x:c>
      <x:c r="C137" s="6" t="str">
        <x:v>evidence_approved</x:v>
      </x:c>
      <x:c r="D137" s="6" t="str">
        <x:v>codex-evidence-review-v1</x:v>
      </x:c>
      <x:c r="E137" s="22" t="n">
        <x:v>46244.40206471065</x:v>
      </x:c>
      <x:c r="F137" s="6" t="str">
        <x:v>20</x:v>
      </x:c>
      <x:c r="G137" s="20" t="str">
        <x:v>observed_counterfactual;severe_failure;terminal</x:v>
      </x:c>
      <x:c r="H137" s="20" t="str">
        <x:v>browsergym/miniwob.click-widget</x:v>
      </x:c>
      <x:c r="I137" s="6" t="str">
        <x:v>browsergym/miniwob.click-widget</x:v>
      </x:c>
      <x:c r="J137" s="6" t="str">
        <x:v>cf-click-widget-seed1010-hard_wrong_target</x:v>
      </x:c>
      <x:c r="K137" s="6" t="str">
        <x:v>0</x:v>
      </x:c>
      <x:c r="L137" s="20" t="str">
        <x:v>Click on a "textarea" widget.</x:v>
      </x:c>
      <x:c r="M137" s="20" t="str">
        <x:v>click("17", "left")</x:v>
      </x:c>
      <x:c r="N137" s="6" t="str">
        <x:v>0.0</x:v>
      </x:c>
      <x:c r="O137" s="20" t="str">
        <x:v>file:///root/autodl-tmp/miniwob-plusplus/miniwob/html/miniwob/click-widget.html</x:v>
      </x:c>
      <x:c r="P137" s="20" t="str">
        <x:v>Click Widget Task</x:v>
      </x:c>
      <x:c r="Q137"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x:v>
      </x:c>
      <x:c r="R137" s="20" t="str">
        <x:v>file:///root/autodl-tmp/miniwob-plusplus/miniwob/html/miniwob/click-widget.html</x:v>
      </x:c>
      <x:c r="S137" s="20" t="str">
        <x:v>Click Widget Task</x:v>
      </x:c>
      <x:c r="T137" s="20" t="str">
        <x:v>RootWebArea 'Click Widget Task', focused [14] textbox '' value='7p' StaticText '7p' [16] LabelText '', clickable [17] radio 'ZAat', clickable, focused, checked='true' StaticText 'ZAat' [19] LabelText '', clickable [20] checkbox 'UOT', clickable, checked='false' StaticText 'UOT' [22] textbox '' value='OmS' StaticText 'OmS' [24] button 'H'</x:v>
      </x:c>
      <x:c r="U137" s="6" t="str">
        <x:v>0</x:v>
      </x:c>
      <x:c r="V137" s="6" t="str">
        <x:v>0</x:v>
      </x:c>
      <x:c r="W137" s="6" t="str">
        <x:v>0</x:v>
      </x:c>
      <x:c r="X137" s="6" t="str">
        <x:v>1</x:v>
      </x:c>
      <x:c r="Y137" s="6" t="str">
        <x:v>0</x:v>
      </x:c>
      <x:c r="Z137" s="6" t="str">
        <x:v>1</x:v>
      </x:c>
      <x:c r="AA137" s="6" t="str">
        <x:v>0.0</x:v>
      </x:c>
      <x:c r="AB137" s="20" t="str">
        <x:v>Codex证据复核v1：原始记录唯一匹配、环境实测、反事实配对ID完整、终止且非成功、奖励非正、队列标签与结果派生规则一致；非人工签字。</x:v>
      </x:c>
    </x:row>
    <x:row r="138" ht="46" customHeight="1">
      <x:c r="A138" s="6" t="str">
        <x:v>1</x:v>
      </x:c>
      <x:c r="B138" s="6" t="str">
        <x:v>4c8d63636168e84b5b31</x:v>
      </x:c>
      <x:c r="C138" s="6" t="str">
        <x:v>evidence_approved</x:v>
      </x:c>
      <x:c r="D138" s="6" t="str">
        <x:v>codex-evidence-review-v1</x:v>
      </x:c>
      <x:c r="E138" s="22" t="n">
        <x:v>46244.40206471065</x:v>
      </x:c>
      <x:c r="F138" s="6" t="str">
        <x:v>20</x:v>
      </x:c>
      <x:c r="G138" s="20" t="str">
        <x:v>observed_counterfactual;severe_failure;terminal</x:v>
      </x:c>
      <x:c r="H138" s="20" t="str">
        <x:v>browsergym/miniwob.choose-list</x:v>
      </x:c>
      <x:c r="I138" s="6" t="str">
        <x:v>browsergym/miniwob.choose-list</x:v>
      </x:c>
      <x:c r="J138" s="6" t="str">
        <x:v>cf-choose-list-seed1030-hard_wrong_target</x:v>
      </x:c>
      <x:c r="K138" s="6" t="str">
        <x:v>0</x:v>
      </x:c>
      <x:c r="L138" s="20" t="str">
        <x:v>Select Joyann from the list and click Submit.</x:v>
      </x:c>
      <x:c r="M138" s="20" t="str">
        <x:v>click("19", "left")</x:v>
      </x:c>
      <x:c r="N138" s="6" t="str">
        <x:v>0.0</x:v>
      </x:c>
      <x:c r="O138" s="20" t="str">
        <x:v>file:///root/autodl-tmp/miniwob-plusplus/miniwob/html/miniwob/choose-list.html</x:v>
      </x:c>
      <x:c r="P138" s="20" t="str">
        <x:v>Choose List Task</x:v>
      </x:c>
      <x:c r="Q138" s="20" t="str">
        <x:v>RootWebArea 'Choose List Task', focused [13] combobox '' value='Tillie', hasPopup='menu', expanded=False [19] button 'Submit', clickable</x:v>
      </x:c>
      <x:c r="R138" s="20" t="str">
        <x:v>file:///root/autodl-tmp/miniwob-plusplus/miniwob/html/miniwob/choose-list.html</x:v>
      </x:c>
      <x:c r="S138" s="20" t="str">
        <x:v>Choose List Task</x:v>
      </x:c>
      <x:c r="T138" s="20" t="str">
        <x:v>RootWebArea 'Choose List Task', focused [13] combobox '' value='Tillie', hasPopup='menu', expanded=False [19] button 'Submit', clickable, focused</x:v>
      </x:c>
      <x:c r="U138" s="6" t="str">
        <x:v>0</x:v>
      </x:c>
      <x:c r="V138" s="6" t="str">
        <x:v>0</x:v>
      </x:c>
      <x:c r="W138" s="6" t="str">
        <x:v>0</x:v>
      </x:c>
      <x:c r="X138" s="6" t="str">
        <x:v>1</x:v>
      </x:c>
      <x:c r="Y138" s="6" t="str">
        <x:v>0</x:v>
      </x:c>
      <x:c r="Z138" s="6" t="str">
        <x:v>1</x:v>
      </x:c>
      <x:c r="AA138" s="6" t="str">
        <x:v>0.0</x:v>
      </x:c>
      <x:c r="AB138" s="20" t="str">
        <x:v>Codex证据复核v1：原始记录唯一匹配、环境实测、反事实配对ID完整、终止且非成功、奖励非正、队列标签与结果派生规则一致；非人工签字。</x:v>
      </x:c>
    </x:row>
    <x:row r="139" ht="46" customHeight="1">
      <x:c r="A139" s="6" t="str">
        <x:v>1</x:v>
      </x:c>
      <x:c r="B139" s="6" t="str">
        <x:v>0822ff56a0fa4747c06f</x:v>
      </x:c>
      <x:c r="C139" s="6" t="str">
        <x:v>evidence_approved</x:v>
      </x:c>
      <x:c r="D139" s="6" t="str">
        <x:v>codex-evidence-review-v1</x:v>
      </x:c>
      <x:c r="E139" s="22" t="n">
        <x:v>46244.40206471065</x:v>
      </x:c>
      <x:c r="F139" s="6" t="str">
        <x:v>20</x:v>
      </x:c>
      <x:c r="G139" s="20" t="str">
        <x:v>observed_counterfactual;severe_failure;terminal</x:v>
      </x:c>
      <x:c r="H139" s="20" t="str">
        <x:v>browsergym/miniwob.click-collapsible</x:v>
      </x:c>
      <x:c r="I139" s="6" t="str">
        <x:v>browsergym/miniwob.click-collapsible</x:v>
      </x:c>
      <x:c r="J139" s="6" t="str">
        <x:v>cf-click-collapsible-seed1014-hard_wrong_target</x:v>
      </x:c>
      <x:c r="K139" s="6" t="str">
        <x:v>0</x:v>
      </x:c>
      <x:c r="L139" s="20" t="str">
        <x:v>Expand the section below and click submit.</x:v>
      </x:c>
      <x:c r="M139" s="20" t="str">
        <x:v>click("22", "left")</x:v>
      </x:c>
      <x:c r="N139" s="6" t="str">
        <x:v>0.0</x:v>
      </x:c>
      <x:c r="O139" s="20" t="str">
        <x:v>file:///root/autodl-tmp/miniwob-plusplus/miniwob/html/miniwob/click-collapsible.html</x:v>
      </x:c>
      <x:c r="P139" s="20" t="str">
        <x:v>Click Collapsible Task</x:v>
      </x:c>
      <x:c r="Q139" s="20" t="str">
        <x:v>RootWebArea 'Click Collapsible Task', focused [15] tablist '', multiselectable=False, orientation='horizontal' [16] tab 'Section #40', clickable, expanded=False, selected=False, controls='ui-id-2' [19] tab 'Submit', clickable, expanded=False, selected=False [22] button 'Submit', clickable</x:v>
      </x:c>
      <x:c r="R139" s="20" t="str">
        <x:v>file:///root/autodl-tmp/miniwob-plusplus/miniwob/html/miniwob/click-collapsible.html</x:v>
      </x:c>
      <x:c r="S139" s="20" t="str">
        <x:v>Click Collapsible Task</x:v>
      </x:c>
      <x:c r="T139" s="20" t="str">
        <x:v>RootWebArea 'Click Collapsible Task', focused [15] tablist '', multiselectable=False, orientation='horizontal' [16] tab 'Section #40', clickable, expanded=False, selected=False, controls='ui-id-2' [19] tab 'Submit', clickable, expanded=False, selected=False [22] button 'Submit', clickable, focused</x:v>
      </x:c>
      <x:c r="U139" s="6" t="str">
        <x:v>0</x:v>
      </x:c>
      <x:c r="V139" s="6" t="str">
        <x:v>0</x:v>
      </x:c>
      <x:c r="W139" s="6" t="str">
        <x:v>0</x:v>
      </x:c>
      <x:c r="X139" s="6" t="str">
        <x:v>1</x:v>
      </x:c>
      <x:c r="Y139" s="6" t="str">
        <x:v>0</x:v>
      </x:c>
      <x:c r="Z139" s="6" t="str">
        <x:v>1</x:v>
      </x:c>
      <x:c r="AA139" s="6" t="str">
        <x:v>0.0</x:v>
      </x:c>
      <x:c r="AB139" s="20" t="str">
        <x:v>Codex证据复核v1：原始记录唯一匹配、环境实测、反事实配对ID完整、终止且非成功、奖励非正、队列标签与结果派生规则一致；非人工签字。</x:v>
      </x:c>
    </x:row>
    <x:row r="140" ht="46" customHeight="1">
      <x:c r="A140" s="6" t="str">
        <x:v>1</x:v>
      </x:c>
      <x:c r="B140" s="6" t="str">
        <x:v>0b6f7f080953deb97610</x:v>
      </x:c>
      <x:c r="C140" s="6" t="str">
        <x:v>evidence_approved</x:v>
      </x:c>
      <x:c r="D140" s="6" t="str">
        <x:v>codex-evidence-review-v1</x:v>
      </x:c>
      <x:c r="E140" s="22" t="n">
        <x:v>46244.40206471065</x:v>
      </x:c>
      <x:c r="F140" s="6" t="str">
        <x:v>20</x:v>
      </x:c>
      <x:c r="G140" s="20" t="str">
        <x:v>observed_counterfactual;severe_failure;terminal</x:v>
      </x:c>
      <x:c r="H140" s="20" t="str">
        <x:v>browsergym/miniwob.choose-list</x:v>
      </x:c>
      <x:c r="I140" s="6" t="str">
        <x:v>browsergym/miniwob.choose-list</x:v>
      </x:c>
      <x:c r="J140" s="6" t="str">
        <x:v>cf-choose-list-seed1026-hard_wrong_target</x:v>
      </x:c>
      <x:c r="K140" s="6" t="str">
        <x:v>0</x:v>
      </x:c>
      <x:c r="L140" s="20" t="str">
        <x:v>Select Namibia from the list and click Submit.</x:v>
      </x:c>
      <x:c r="M140" s="20" t="str">
        <x:v>click("20", "left")</x:v>
      </x:c>
      <x:c r="N140" s="6" t="str">
        <x:v>0.0</x:v>
      </x:c>
      <x:c r="O140" s="20" t="str">
        <x:v>file:///root/autodl-tmp/miniwob-plusplus/miniwob/html/miniwob/choose-list.html</x:v>
      </x:c>
      <x:c r="P140" s="20" t="str">
        <x:v>Choose List Task</x:v>
      </x:c>
      <x:c r="Q140" s="20" t="str">
        <x:v>RootWebArea 'Choose List Task', focused [13] combobox '' value='Liechtenstein', hasPopup='menu', expanded=False [20] button 'Submit', clickable</x:v>
      </x:c>
      <x:c r="R140" s="20" t="str">
        <x:v>file:///root/autodl-tmp/miniwob-plusplus/miniwob/html/miniwob/choose-list.html</x:v>
      </x:c>
      <x:c r="S140" s="20" t="str">
        <x:v>Choose List Task</x:v>
      </x:c>
      <x:c r="T140" s="20" t="str">
        <x:v>RootWebArea 'Choose List Task', focused [13] combobox '' value='Liechtenstein', hasPopup='menu', expanded=False [20] button 'Submit', clickable, focused</x:v>
      </x:c>
      <x:c r="U140" s="6" t="str">
        <x:v>0</x:v>
      </x:c>
      <x:c r="V140" s="6" t="str">
        <x:v>0</x:v>
      </x:c>
      <x:c r="W140" s="6" t="str">
        <x:v>0</x:v>
      </x:c>
      <x:c r="X140" s="6" t="str">
        <x:v>1</x:v>
      </x:c>
      <x:c r="Y140" s="6" t="str">
        <x:v>0</x:v>
      </x:c>
      <x:c r="Z140" s="6" t="str">
        <x:v>1</x:v>
      </x:c>
      <x:c r="AA140" s="6" t="str">
        <x:v>0.0</x:v>
      </x:c>
      <x:c r="AB140" s="20" t="str">
        <x:v>Codex证据复核v1：原始记录唯一匹配、环境实测、反事实配对ID完整、终止且非成功、奖励非正、队列标签与结果派生规则一致；非人工签字。</x:v>
      </x:c>
    </x:row>
    <x:row r="141" ht="46" customHeight="1">
      <x:c r="A141" s="6" t="str">
        <x:v>1</x:v>
      </x:c>
      <x:c r="B141" s="6" t="str">
        <x:v>8cad2640bd892881779f</x:v>
      </x:c>
      <x:c r="C141" s="6" t="str">
        <x:v>evidence_approved</x:v>
      </x:c>
      <x:c r="D141" s="6" t="str">
        <x:v>codex-evidence-review-v1</x:v>
      </x:c>
      <x:c r="E141" s="22" t="n">
        <x:v>46244.40206471065</x:v>
      </x:c>
      <x:c r="F141" s="6" t="str">
        <x:v>20</x:v>
      </x:c>
      <x:c r="G141" s="20" t="str">
        <x:v>observed_counterfactual;severe_failure;terminal</x:v>
      </x:c>
      <x:c r="H141" s="20" t="str">
        <x:v>browsergym/miniwob.enter-text-2</x:v>
      </x:c>
      <x:c r="I141" s="6" t="str">
        <x:v>browsergym/miniwob.enter-text-2</x:v>
      </x:c>
      <x:c r="J141" s="6" t="str">
        <x:v>cf-enter-text-2-seed1038-hard_wrong_target</x:v>
      </x:c>
      <x:c r="K141" s="6" t="str">
        <x:v>0</x:v>
      </x:c>
      <x:c r="L141" s="20" t="str">
        <x:v>Type "DOLORES" in all lower case letters in the text input and press Submit.</x:v>
      </x:c>
      <x:c r="M141" s="20" t="str">
        <x:v>click("15", "left")</x:v>
      </x:c>
      <x:c r="N141" s="6" t="str">
        <x:v>0.0</x:v>
      </x:c>
      <x:c r="O141" s="20" t="str">
        <x:v>file:///root/autodl-tmp/miniwob-plusplus/miniwob/html/miniwob/enter-text-2.html</x:v>
      </x:c>
      <x:c r="P141" s="20" t="str">
        <x:v>Enter Text Task</x:v>
      </x:c>
      <x:c r="Q141" s="20" t="str">
        <x:v>RootWebArea 'Enter Text Task', focused [14] textbox '', clickable [15] button 'Submit', clickable</x:v>
      </x:c>
      <x:c r="R141" s="20" t="str">
        <x:v>file:///root/autodl-tmp/miniwob-plusplus/miniwob/html/miniwob/enter-text-2.html</x:v>
      </x:c>
      <x:c r="S141" s="20" t="str">
        <x:v>Enter Text Task</x:v>
      </x:c>
      <x:c r="T141" s="20" t="str">
        <x:v>RootWebArea 'Enter Text Task', focused [14] textbox '', clickable [15] button 'Submit', clickable, focused</x:v>
      </x:c>
      <x:c r="U141" s="6" t="str">
        <x:v>0</x:v>
      </x:c>
      <x:c r="V141" s="6" t="str">
        <x:v>0</x:v>
      </x:c>
      <x:c r="W141" s="6" t="str">
        <x:v>0</x:v>
      </x:c>
      <x:c r="X141" s="6" t="str">
        <x:v>1</x:v>
      </x:c>
      <x:c r="Y141" s="6" t="str">
        <x:v>0</x:v>
      </x:c>
      <x:c r="Z141" s="6" t="str">
        <x:v>1</x:v>
      </x:c>
      <x:c r="AA141" s="6" t="str">
        <x:v>0.0</x:v>
      </x:c>
      <x:c r="AB141" s="20" t="str">
        <x:v>Codex证据复核v1：原始记录唯一匹配、环境实测、反事实配对ID完整、终止且非成功、奖励非正、队列标签与结果派生规则一致；非人工签字。</x:v>
      </x:c>
    </x:row>
    <x:row r="142" ht="46" customHeight="1">
      <x:c r="A142" s="6" t="str">
        <x:v>1</x:v>
      </x:c>
      <x:c r="B142" s="6" t="str">
        <x:v>bc368f6031e30dc59da0</x:v>
      </x:c>
      <x:c r="C142" s="6" t="str">
        <x:v>evidence_approved</x:v>
      </x:c>
      <x:c r="D142" s="6" t="str">
        <x:v>codex-evidence-review-v1</x:v>
      </x:c>
      <x:c r="E142" s="22" t="n">
        <x:v>46244.40206471065</x:v>
      </x:c>
      <x:c r="F142" s="6" t="str">
        <x:v>20</x:v>
      </x:c>
      <x:c r="G142" s="20" t="str">
        <x:v>observed_counterfactual;severe_failure;terminal</x:v>
      </x:c>
      <x:c r="H142" s="20" t="str">
        <x:v>browsergym/miniwob.login-user</x:v>
      </x:c>
      <x:c r="I142" s="6" t="str">
        <x:v>browsergym/miniwob.login-user</x:v>
      </x:c>
      <x:c r="J142" s="6" t="str">
        <x:v>cf-login-user-seed1000-hard_wrong_target</x:v>
      </x:c>
      <x:c r="K142" s="6" t="str">
        <x:v>0</x:v>
      </x:c>
      <x:c r="L142" s="20" t="str">
        <x:v>Enter the username "kenda" and the password "JE4" into the text fields and press login.</x:v>
      </x:c>
      <x:c r="M142" s="20" t="str">
        <x:v>click("20", "left")</x:v>
      </x:c>
      <x:c r="N142" s="6" t="str">
        <x:v>0.0</x:v>
      </x:c>
      <x:c r="O142" s="20" t="str">
        <x:v>file:///root/autodl-tmp/miniwob-plusplus/miniwob/html/miniwob/login-user.html</x:v>
      </x:c>
      <x:c r="P142" s="20" t="str">
        <x:v>Login User Task</x:v>
      </x:c>
      <x:c r="Q142" s="20" t="str">
        <x:v>RootWebArea 'Login User Task', focused [14] paragraph '' [15] LabelText '' StaticText 'Username' [16] textbox '', clickable [17] paragraph '' [18] LabelText '' StaticText 'Password' [19] textbox '', clickable [20] button 'Login', clickable</x:v>
      </x:c>
      <x:c r="R142" s="20" t="str">
        <x:v>file:///root/autodl-tmp/miniwob-plusplus/miniwob/html/miniwob/login-user.html</x:v>
      </x:c>
      <x:c r="S142" s="20" t="str">
        <x:v>Login User Task</x:v>
      </x:c>
      <x:c r="T142" s="20" t="str">
        <x:v>RootWebArea 'Login User Task', focused [14] paragraph '' [15] LabelText '' StaticText 'Username' [16] textbox '', clickable [17] paragraph '' [18] LabelText '' StaticText 'Password' [19] textbox '', clickable [20] button 'Login', clickable, focused</x:v>
      </x:c>
      <x:c r="U142" s="6" t="str">
        <x:v>0</x:v>
      </x:c>
      <x:c r="V142" s="6" t="str">
        <x:v>0</x:v>
      </x:c>
      <x:c r="W142" s="6" t="str">
        <x:v>0</x:v>
      </x:c>
      <x:c r="X142" s="6" t="str">
        <x:v>1</x:v>
      </x:c>
      <x:c r="Y142" s="6" t="str">
        <x:v>0</x:v>
      </x:c>
      <x:c r="Z142" s="6" t="str">
        <x:v>1</x:v>
      </x:c>
      <x:c r="AA142" s="6" t="str">
        <x:v>0.0</x:v>
      </x:c>
      <x:c r="AB142" s="20" t="str">
        <x:v>Codex证据复核v1：原始记录唯一匹配、环境实测、反事实配对ID完整、终止且非成功、奖励非正、队列标签与结果派生规则一致；非人工签字。</x:v>
      </x:c>
    </x:row>
    <x:row r="143" ht="46" customHeight="1">
      <x:c r="A143" s="6" t="str">
        <x:v>1</x:v>
      </x:c>
      <x:c r="B143" s="6" t="str">
        <x:v>0377c29f38c297c8586b</x:v>
      </x:c>
      <x:c r="C143" s="6" t="str">
        <x:v>evidence_approved</x:v>
      </x:c>
      <x:c r="D143" s="6" t="str">
        <x:v>codex-evidence-review-v1</x:v>
      </x:c>
      <x:c r="E143" s="22" t="n">
        <x:v>46244.40206471065</x:v>
      </x:c>
      <x:c r="F143" s="6" t="str">
        <x:v>20</x:v>
      </x:c>
      <x:c r="G143" s="20" t="str">
        <x:v>observed_counterfactual;severe_failure;terminal</x:v>
      </x:c>
      <x:c r="H143" s="20" t="str">
        <x:v>browsergym/miniwob.choose-list</x:v>
      </x:c>
      <x:c r="I143" s="6" t="str">
        <x:v>browsergym/miniwob.choose-list</x:v>
      </x:c>
      <x:c r="J143" s="6" t="str">
        <x:v>cf-choose-list-seed1025-hard_wrong_target</x:v>
      </x:c>
      <x:c r="K143" s="6" t="str">
        <x:v>0</x:v>
      </x:c>
      <x:c r="L143" s="20" t="str">
        <x:v>Select Fiji from the list and click Submit.</x:v>
      </x:c>
      <x:c r="M143" s="20" t="str">
        <x:v>click("21", "left")</x:v>
      </x:c>
      <x:c r="N143" s="6" t="str">
        <x:v>0.0</x:v>
      </x:c>
      <x:c r="O143" s="20" t="str">
        <x:v>file:///root/autodl-tmp/miniwob-plusplus/miniwob/html/miniwob/choose-list.html</x:v>
      </x:c>
      <x:c r="P143" s="20" t="str">
        <x:v>Choose List Task</x:v>
      </x:c>
      <x:c r="Q143" s="20" t="str">
        <x:v>RootWebArea 'Choose List Task', focused [13] combobox '' value='South Africa', hasPopup='menu', expanded=False [21] button 'Submit', clickable</x:v>
      </x:c>
      <x:c r="R143" s="20" t="str">
        <x:v>file:///root/autodl-tmp/miniwob-plusplus/miniwob/html/miniwob/choose-list.html</x:v>
      </x:c>
      <x:c r="S143" s="20" t="str">
        <x:v>Choose List Task</x:v>
      </x:c>
      <x:c r="T143" s="20" t="str">
        <x:v>RootWebArea 'Choose List Task', focused [13] combobox '' value='South Africa', hasPopup='menu', expanded=False [21] button 'Submit', clickable, focused</x:v>
      </x:c>
      <x:c r="U143" s="6" t="str">
        <x:v>0</x:v>
      </x:c>
      <x:c r="V143" s="6" t="str">
        <x:v>0</x:v>
      </x:c>
      <x:c r="W143" s="6" t="str">
        <x:v>0</x:v>
      </x:c>
      <x:c r="X143" s="6" t="str">
        <x:v>1</x:v>
      </x:c>
      <x:c r="Y143" s="6" t="str">
        <x:v>0</x:v>
      </x:c>
      <x:c r="Z143" s="6" t="str">
        <x:v>1</x:v>
      </x:c>
      <x:c r="AA143" s="6" t="str">
        <x:v>0.0</x:v>
      </x:c>
      <x:c r="AB143" s="20" t="str">
        <x:v>Codex证据复核v1：原始记录唯一匹配、环境实测、反事实配对ID完整、终止且非成功、奖励非正、队列标签与结果派生规则一致；非人工签字。</x:v>
      </x:c>
    </x:row>
    <x:row r="144" ht="46" customHeight="1">
      <x:c r="A144" s="6" t="str">
        <x:v>1</x:v>
      </x:c>
      <x:c r="B144" s="6" t="str">
        <x:v>ca6099411b05436b0197</x:v>
      </x:c>
      <x:c r="C144" s="6" t="str">
        <x:v>evidence_approved</x:v>
      </x:c>
      <x:c r="D144" s="6" t="str">
        <x:v>codex-evidence-review-v1</x:v>
      </x:c>
      <x:c r="E144" s="22" t="n">
        <x:v>46244.40206471065</x:v>
      </x:c>
      <x:c r="F144" s="6" t="str">
        <x:v>20</x:v>
      </x:c>
      <x:c r="G144" s="20" t="str">
        <x:v>observed_counterfactual;severe_failure;terminal</x:v>
      </x:c>
      <x:c r="H144" s="20" t="str">
        <x:v>browsergym/miniwob.scroll-text-2</x:v>
      </x:c>
      <x:c r="I144" s="6" t="str">
        <x:v>browsergym/miniwob.scroll-text-2</x:v>
      </x:c>
      <x:c r="J144" s="6" t="str">
        <x:v>cf-scroll-text-2-seed1029-hard_wrong_target</x:v>
      </x:c>
      <x:c r="K144" s="6" t="str">
        <x:v>0</x:v>
      </x:c>
      <x:c r="L144" s="20" t="str">
        <x:v>Scroll the textarea to the top of the text hit submit.</x:v>
      </x:c>
      <x:c r="M144" s="20" t="str">
        <x:v>click("14", "left")</x:v>
      </x:c>
      <x:c r="N144" s="6" t="str">
        <x:v>0.0</x:v>
      </x:c>
      <x:c r="O144" s="20" t="str">
        <x:v>file:///root/autodl-tmp/miniwob-plusplus/miniwob/html/miniwob/scroll-text-2.html</x:v>
      </x:c>
      <x:c r="P144" s="20" t="str">
        <x:v>Scroll Text Task</x:v>
      </x:c>
      <x:c r="Q144" s="20" t="str">
        <x:v>RootWebArea 'Scroll Text Task', focused [13] textbox '' value='Lacus dui porttitor fames quam. Aenean. Elit mauris tellus, ultrices in pulvinar. Fringilla urna quis. Suspendisse maecenas arcu a. Mollis tincidunt id orci eu purus dolor non duis nisl congue vitae,. Vitae convallis blandit. Eu a scelerisque viverra diam tincidunt consequat neque diam quam ornare imperdiet et fermentum. Penatibus tortor, quam bibendum mattis duis faucibus sed mauris condimentum pretium. Convallis turpis arcu volutpat. In tincidunt massa amet vel. Laoreet ornare quisque hendrerit magna sit augue. Lacinia. Ut. Posuere tellus sit. Arcu sit cursus. Dui e… StaticText 'Lacus dui porttitor fames quam. Aenean. Elit mauris tellus, ultrices in pulvinar. Fringilla urna quis. Suspendisse maecenas arcu a. Mollis tincidunt id orci eu purus dolor non duis nisl congue vitae,. Vitae convallis blandit. Eu a scelerisque viver…</x:v>
      </x:c>
      <x:c r="R144" s="20" t="str">
        <x:v>file:///root/autodl-tmp/miniwob-plusplus/miniwob/html/miniwob/scroll-text-2.html</x:v>
      </x:c>
      <x:c r="S144" s="20" t="str">
        <x:v>Scroll Text Task</x:v>
      </x:c>
      <x:c r="T144" s="20" t="str">
        <x:v>RootWebArea 'Scroll Text Task', focused [13] textbox '' value='Lacus dui porttitor fames quam. Aenean. Elit mauris tellus, ultrices in pulvinar. Fringilla urna quis. Suspendisse maecenas arcu a. Mollis tincidunt id orci eu purus dolor non duis nisl congue vitae,. Vitae convallis blandit. Eu a scelerisque viverra diam tincidunt consequat neque diam quam ornare imperdiet et fermentum. Penatibus tortor, quam bibendum mattis duis faucibus sed mauris condimentum pretium. Convallis turpis arcu volutpat. In tincidunt massa amet vel. Laoreet ornare quisque hendrerit magna sit augue. Lacinia. Ut. Posuere tellus sit. Arcu sit cursus. Dui e… StaticText 'Lacus dui porttitor fames quam. Aenean. Elit mauris tellus, ultrices in pulvinar. Fringilla urna quis. Suspendisse maecenas arcu a. Mollis tincidunt id orci eu purus dolor non duis nisl congue vitae,. Vitae convallis blandit. Eu a scelerisque viver…</x:v>
      </x:c>
      <x:c r="U144" s="6" t="str">
        <x:v>0</x:v>
      </x:c>
      <x:c r="V144" s="6" t="str">
        <x:v>0</x:v>
      </x:c>
      <x:c r="W144" s="6" t="str">
        <x:v>0</x:v>
      </x:c>
      <x:c r="X144" s="6" t="str">
        <x:v>1</x:v>
      </x:c>
      <x:c r="Y144" s="6" t="str">
        <x:v>0</x:v>
      </x:c>
      <x:c r="Z144" s="6" t="str">
        <x:v>1</x:v>
      </x:c>
      <x:c r="AA144" s="6" t="str">
        <x:v>0.0</x:v>
      </x:c>
      <x:c r="AB144" s="20" t="str">
        <x:v>Codex证据复核v1：原始记录唯一匹配、环境实测、反事实配对ID完整、终止且非成功、奖励非正、队列标签与结果派生规则一致；非人工签字。</x:v>
      </x:c>
    </x:row>
    <x:row r="145" ht="46" customHeight="1">
      <x:c r="A145" s="6" t="str">
        <x:v>1</x:v>
      </x:c>
      <x:c r="B145" s="6" t="str">
        <x:v>fb9d8c94e432a13071a9</x:v>
      </x:c>
      <x:c r="C145" s="6" t="str">
        <x:v>evidence_approved</x:v>
      </x:c>
      <x:c r="D145" s="6" t="str">
        <x:v>codex-evidence-review-v1</x:v>
      </x:c>
      <x:c r="E145" s="22" t="n">
        <x:v>46244.40206471065</x:v>
      </x:c>
      <x:c r="F145" s="6" t="str">
        <x:v>20</x:v>
      </x:c>
      <x:c r="G145" s="20" t="str">
        <x:v>observed_counterfactual;severe_failure;terminal</x:v>
      </x:c>
      <x:c r="H145" s="20" t="str">
        <x:v>browsergym/miniwob.click-checkboxes-soft</x:v>
      </x:c>
      <x:c r="I145" s="6" t="str">
        <x:v>browsergym/miniwob.click-checkboxes-soft</x:v>
      </x:c>
      <x:c r="J145" s="6" t="str">
        <x:v>cf-click-checkboxes-soft-seed1010-missing_target</x:v>
      </x:c>
      <x:c r="K145" s="6" t="str">
        <x:v>0</x:v>
      </x:c>
      <x:c r="L145" s="20" t="str">
        <x:v>Select words similar to televisions, flame and click Submit.</x:v>
      </x:c>
      <x:c r="M145" s="20" t="str">
        <x:v>click("27", "left")</x:v>
      </x:c>
      <x:c r="N145" s="6" t="str">
        <x:v>0.0</x:v>
      </x:c>
      <x:c r="O145" s="20" t="str">
        <x:v>file:///root/autodl-tmp/miniwob-plusplus/miniwob/html/miniwob/click-checkboxes-soft.html</x:v>
      </x:c>
      <x:c r="P145" s="20" t="str">
        <x:v>Click Checkboxes Task</x:v>
      </x:c>
      <x:c r="Q145" s="20" t="str">
        <x:v>RootWebArea 'Click Checkboxes Task', focused [17] LabelText '', clickable [18] checkbox 'flames', clickable, checked='false' StaticText 'flames' [20] LabelText '', clickable [21] checkbox 'corrupt', clickable, checked='false' StaticText 'corrupt' [23] LabelText '', clickable [24] checkbox 'TVs', clickable, checked='false' StaticText 'TVs' [27] button 'Submit', clickable</x:v>
      </x:c>
      <x:c r="R145" s="20" t="str">
        <x:v>file:///root/autodl-tmp/miniwob-plusplus/miniwob/html/miniwob/click-checkboxes-soft.html</x:v>
      </x:c>
      <x:c r="S145" s="20" t="str">
        <x:v>Click Checkboxes Task</x:v>
      </x:c>
      <x:c r="T145" s="20" t="str">
        <x:v>RootWebArea 'Click Checkboxes Task', focused [17] LabelText '', clickable [18] checkbox 'flames', clickable, checked='false' StaticText 'flames' [20] LabelText '', clickable [21] checkbox 'corrupt', clickable, checked='false' StaticText 'corrupt' [23] LabelText '', clickable [24] checkbox 'TVs', clickable, checked='false' StaticText 'TVs' [27] button 'Submit', clickable, focused</x:v>
      </x:c>
      <x:c r="U145" s="6" t="str">
        <x:v>0</x:v>
      </x:c>
      <x:c r="V145" s="6" t="str">
        <x:v>0</x:v>
      </x:c>
      <x:c r="W145" s="6" t="str">
        <x:v>0</x:v>
      </x:c>
      <x:c r="X145" s="6" t="str">
        <x:v>1</x:v>
      </x:c>
      <x:c r="Y145" s="6" t="str">
        <x:v>0</x:v>
      </x:c>
      <x:c r="Z145" s="6" t="str">
        <x:v>1</x:v>
      </x:c>
      <x:c r="AA145" s="6" t="str">
        <x:v>0.0</x:v>
      </x:c>
      <x:c r="AB145" s="20" t="str">
        <x:v>Codex证据复核v1：原始记录唯一匹配、环境实测、反事实配对ID完整、终止且非成功、奖励非正、队列标签与结果派生规则一致；非人工签字。</x:v>
      </x:c>
    </x:row>
    <x:row r="146" ht="46" customHeight="1">
      <x:c r="A146" s="6" t="str">
        <x:v>1</x:v>
      </x:c>
      <x:c r="B146" s="6" t="str">
        <x:v>05e8a1042043a4ebe5d0</x:v>
      </x:c>
      <x:c r="C146" s="6" t="str">
        <x:v>evidence_approved</x:v>
      </x:c>
      <x:c r="D146" s="6" t="str">
        <x:v>codex-evidence-review-v1</x:v>
      </x:c>
      <x:c r="E146" s="22" t="n">
        <x:v>46244.40206471065</x:v>
      </x:c>
      <x:c r="F146" s="6" t="str">
        <x:v>20</x:v>
      </x:c>
      <x:c r="G146" s="20" t="str">
        <x:v>observed_counterfactual;severe_failure;terminal</x:v>
      </x:c>
      <x:c r="H146" s="20" t="str">
        <x:v>browsergym/miniwob.click-tab</x:v>
      </x:c>
      <x:c r="I146" s="6" t="str">
        <x:v>browsergym/miniwob.click-tab</x:v>
      </x:c>
      <x:c r="J146" s="6" t="str">
        <x:v>cf-click-tab-seed1014-hard_wrong_target</x:v>
      </x:c>
      <x:c r="K146" s="6" t="str">
        <x:v>0</x:v>
      </x:c>
      <x:c r="L146" s="20" t="str">
        <x:v>Click on Tab #1.</x:v>
      </x:c>
      <x:c r="M146" s="20" t="str">
        <x:v>click("22", "left")</x:v>
      </x:c>
      <x:c r="N146" s="6" t="str">
        <x:v>0.0</x:v>
      </x:c>
      <x:c r="O146" s="20" t="str">
        <x:v>file:///root/autodl-tmp/miniwob-plusplus/miniwob/html/miniwob/click-tab.html</x:v>
      </x:c>
      <x:c r="P146" s="20" t="str">
        <x:v>Click Tab Task</x:v>
      </x:c>
      <x:c r="Q146"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'Interdum leo fringilla. Nullam. Neque, egestas sit cursus scelerisque id odio adipiscing. Ut non in metus egestas fermentum risus, magna.'</x:v>
      </x:c>
      <x:c r="R146" s="20" t="str">
        <x:v>file:///root/autodl-tmp/miniwob-plusplus/miniwob/html/miniwob/click-tab.html</x:v>
      </x:c>
      <x:c r="S146" s="20" t="str">
        <x:v>Click Tab Task</x:v>
      </x:c>
      <x:c r="T146" s="20" t="str">
        <x:v>RootWebArea 'Click Tab Task', focused [17] tablist '', clickable, multiselectable=False, orientation='horizontal' [18] tab 'Tab #1', expanded=False, selected=False, controls='tabs-1' [19] link 'Tab #1', clickable [20] tab 'Tab #2', expanded=False, selected=False, controls='tabs-2' [21] link 'Tab #2', clickable [22] tab 'Tab #3', expanded=True, selected=True, controls='tabs-3' [23] link 'Tab #3', clickable, focused [28] tabpanel 'Tab #3' [29] paragraph '' StaticText 'In elementum. Ac vestibulum. Etiam arcu morbi turpis sed pellentesque volutpat. Penatibus. Nisi venenatis aliquam. Sed aliquam. Enim. Sagittis viverra.'</x:v>
      </x:c>
      <x:c r="U146" s="6" t="str">
        <x:v>0</x:v>
      </x:c>
      <x:c r="V146" s="6" t="str">
        <x:v>0</x:v>
      </x:c>
      <x:c r="W146" s="6" t="str">
        <x:v>0</x:v>
      </x:c>
      <x:c r="X146" s="6" t="str">
        <x:v>1</x:v>
      </x:c>
      <x:c r="Y146" s="6" t="str">
        <x:v>0</x:v>
      </x:c>
      <x:c r="Z146" s="6" t="str">
        <x:v>1</x:v>
      </x:c>
      <x:c r="AA146" s="6" t="str">
        <x:v>0.0</x:v>
      </x:c>
      <x:c r="AB146" s="20" t="str">
        <x:v>Codex证据复核v1：原始记录唯一匹配、环境实测、反事实配对ID完整、终止且非成功、奖励非正、队列标签与结果派生规则一致；非人工签字。</x:v>
      </x:c>
    </x:row>
    <x:row r="147" ht="46" customHeight="1">
      <x:c r="A147" s="6" t="str">
        <x:v>1</x:v>
      </x:c>
      <x:c r="B147" s="6" t="str">
        <x:v>412b97e71e83bc7b2204</x:v>
      </x:c>
      <x:c r="C147" s="6" t="str">
        <x:v>evidence_approved</x:v>
      </x:c>
      <x:c r="D147" s="6" t="str">
        <x:v>codex-evidence-review-v1</x:v>
      </x:c>
      <x:c r="E147" s="22" t="n">
        <x:v>46244.40206471065</x:v>
      </x:c>
      <x:c r="F147" s="6" t="str">
        <x:v>20</x:v>
      </x:c>
      <x:c r="G147" s="20" t="str">
        <x:v>observed_counterfactual;severe_failure;terminal</x:v>
      </x:c>
      <x:c r="H147" s="20" t="str">
        <x:v>browsergym/miniwob.click-menu</x:v>
      </x:c>
      <x:c r="I147" s="6" t="str">
        <x:v>browsergym/miniwob.click-menu</x:v>
      </x:c>
      <x:c r="J147" s="6" t="str">
        <x:v>cf-click-menu-seed1024-hard_wrong_target</x:v>
      </x:c>
      <x:c r="K147" s="6" t="str">
        <x:v>0</x:v>
      </x:c>
      <x:c r="L147" s="20" t="str">
        <x:v>Select Jacky&gt;Devon&gt;Karry</x:v>
      </x:c>
      <x:c r="M147" s="20" t="str">
        <x:v>click("19", "left")</x:v>
      </x:c>
      <x:c r="N147" s="6" t="str">
        <x:v>0.0</x:v>
      </x:c>
      <x:c r="O147" s="20" t="str">
        <x:v>file:///root/autodl-tmp/miniwob-plusplus/miniwob/html/miniwob/click-menu.html</x:v>
      </x:c>
      <x:c r="P147" s="20" t="str">
        <x:v>Click Menu Task</x:v>
      </x:c>
      <x:c r="Q147" s="20" t="str">
        <x:v>RootWebArea 'Click Menu Task', focused [17] menu '', clickable, orientation='vertical' image '' [19] menuitem 'Yvette', hasPopup='menu' image '' [29] menuitem 'Jacky', hasPopup='menu'</x:v>
      </x:c>
      <x:c r="R147" s="20" t="str">
        <x:v>file:///root/autodl-tmp/miniwob-plusplus/miniwob/html/miniwob/click-menu.html</x:v>
      </x:c>
      <x:c r="S147" s="20" t="str">
        <x:v>Click Menu Task</x:v>
      </x:c>
      <x:c r="T147" s="20" t="str">
        <x:v>RootWebArea 'Click Menu Task', focused [17] menu '', clickable, orientation='vertical' image '' [19] menuitem 'Yvette', hasPopup='menu' [21] menu '', orientation='vertical' image '' [23] menuitem 'Julieta' image '' [25] menuitem 'Berenice' image '' [27] menuitem 'Luisa' image '' [29] menuitem 'Jacky', hasPopup='menu'</x:v>
      </x:c>
      <x:c r="U147" s="6" t="str">
        <x:v>0</x:v>
      </x:c>
      <x:c r="V147" s="6" t="str">
        <x:v>0</x:v>
      </x:c>
      <x:c r="W147" s="6" t="str">
        <x:v>0</x:v>
      </x:c>
      <x:c r="X147" s="6" t="str">
        <x:v>1</x:v>
      </x:c>
      <x:c r="Y147" s="6" t="str">
        <x:v>0</x:v>
      </x:c>
      <x:c r="Z147" s="6" t="str">
        <x:v>1</x:v>
      </x:c>
      <x:c r="AA147" s="6" t="str">
        <x:v>0.0</x:v>
      </x:c>
      <x:c r="AB147" s="20" t="str">
        <x:v>Codex证据复核v1：原始记录唯一匹配、环境实测、反事实配对ID完整、终止且非成功、奖励非正、队列标签与结果派生规则一致；非人工签字。</x:v>
      </x:c>
    </x:row>
    <x:row r="148" ht="46" customHeight="1">
      <x:c r="A148" s="6" t="str">
        <x:v>1</x:v>
      </x:c>
      <x:c r="B148" s="6" t="str">
        <x:v>fd0b3ae5e179d5f46275</x:v>
      </x:c>
      <x:c r="C148" s="6" t="str">
        <x:v>evidence_approved</x:v>
      </x:c>
      <x:c r="D148" s="6" t="str">
        <x:v>codex-evidence-review-v1</x:v>
      </x:c>
      <x:c r="E148" s="22" t="n">
        <x:v>46244.40206471065</x:v>
      </x:c>
      <x:c r="F148" s="6" t="str">
        <x:v>20</x:v>
      </x:c>
      <x:c r="G148" s="20" t="str">
        <x:v>observed_counterfactual;severe_failure;terminal</x:v>
      </x:c>
      <x:c r="H148" s="20" t="str">
        <x:v>browsergym/miniwob.enter-password</x:v>
      </x:c>
      <x:c r="I148" s="6" t="str">
        <x:v>browsergym/miniwob.enter-password</x:v>
      </x:c>
      <x:c r="J148" s="6" t="str">
        <x:v>cf-enter-password-seed1011-hard_wrong_target</x:v>
      </x:c>
      <x:c r="K148" s="6" t="str">
        <x:v>0</x:v>
      </x:c>
      <x:c r="L148" s="20" t="str">
        <x:v>Enter the password "8m" into both text fields and press submit.</x:v>
      </x:c>
      <x:c r="M148" s="20" t="str">
        <x:v>click("20", "left")</x:v>
      </x:c>
      <x:c r="N148" s="6" t="str">
        <x:v>0.0</x:v>
      </x:c>
      <x:c r="O148" s="20" t="str">
        <x:v>file:///root/autodl-tmp/miniwob-plusplus/miniwob/html/miniwob/enter-password.html</x:v>
      </x:c>
      <x:c r="P148" s="20" t="str">
        <x:v>Enter Password Task</x:v>
      </x:c>
      <x:c r="Q148" s="20" t="str">
        <x:v>RootWebArea 'Enter Password Task', focused [14] paragraph '' [15] LabelText '' StaticText 'Password' [16] textbox '', clickable [17] paragraph '' [18] LabelText '' StaticText 'Verify password' [19] textbox '', clickable [20] button 'Submit', clickable</x:v>
      </x:c>
      <x:c r="R148" s="20" t="str">
        <x:v>file:///root/autodl-tmp/miniwob-plusplus/miniwob/html/miniwob/enter-password.html</x:v>
      </x:c>
      <x:c r="S148" s="20" t="str">
        <x:v>Enter Password Task</x:v>
      </x:c>
      <x:c r="T148" s="20" t="str">
        <x:v>RootWebArea 'Enter Password Task', focused [14] paragraph '' [15] LabelText '' StaticText 'Password' [16] textbox '', clickable [17] paragraph '' [18] LabelText '' StaticText 'Verify password' [19] textbox '', clickable [20] button 'Submit', clickable, focused</x:v>
      </x:c>
      <x:c r="U148" s="6" t="str">
        <x:v>0</x:v>
      </x:c>
      <x:c r="V148" s="6" t="str">
        <x:v>0</x:v>
      </x:c>
      <x:c r="W148" s="6" t="str">
        <x:v>0</x:v>
      </x:c>
      <x:c r="X148" s="6" t="str">
        <x:v>1</x:v>
      </x:c>
      <x:c r="Y148" s="6" t="str">
        <x:v>0</x:v>
      </x:c>
      <x:c r="Z148" s="6" t="str">
        <x:v>1</x:v>
      </x:c>
      <x:c r="AA148" s="6" t="str">
        <x:v>0.0</x:v>
      </x:c>
      <x:c r="AB148" s="20" t="str">
        <x:v>Codex证据复核v1：原始记录唯一匹配、环境实测、反事实配对ID完整、终止且非成功、奖励非正、队列标签与结果派生规则一致；非人工签字。</x:v>
      </x:c>
    </x:row>
    <x:row r="149" ht="46" customHeight="1">
      <x:c r="A149" s="6" t="str">
        <x:v>1</x:v>
      </x:c>
      <x:c r="B149" s="6" t="str">
        <x:v>b730bde3aa40004d8f4d</x:v>
      </x:c>
      <x:c r="C149" s="6" t="str">
        <x:v>evidence_approved</x:v>
      </x:c>
      <x:c r="D149" s="6" t="str">
        <x:v>codex-evidence-review-v1</x:v>
      </x:c>
      <x:c r="E149" s="22" t="n">
        <x:v>46244.40206471065</x:v>
      </x:c>
      <x:c r="F149" s="6" t="str">
        <x:v>20</x:v>
      </x:c>
      <x:c r="G149" s="20" t="str">
        <x:v>observed_counterfactual;severe_failure;terminal</x:v>
      </x:c>
      <x:c r="H149" s="20" t="str">
        <x:v>browsergym/miniwob.enter-password</x:v>
      </x:c>
      <x:c r="I149" s="6" t="str">
        <x:v>browsergym/miniwob.enter-password</x:v>
      </x:c>
      <x:c r="J149" s="6" t="str">
        <x:v>cf-enter-password-seed1000-hard_wrong_target</x:v>
      </x:c>
      <x:c r="K149" s="6" t="str">
        <x:v>0</x:v>
      </x:c>
      <x:c r="L149" s="20" t="str">
        <x:v>Enter the password "vJ" into both text fields and press submit.</x:v>
      </x:c>
      <x:c r="M149" s="20" t="str">
        <x:v>click("20", "left")</x:v>
      </x:c>
      <x:c r="N149" s="6" t="str">
        <x:v>0.0</x:v>
      </x:c>
      <x:c r="O149" s="20" t="str">
        <x:v>file:///root/autodl-tmp/miniwob-plusplus/miniwob/html/miniwob/enter-password.html</x:v>
      </x:c>
      <x:c r="P149" s="20" t="str">
        <x:v>Enter Password Task</x:v>
      </x:c>
      <x:c r="Q149" s="20" t="str">
        <x:v>RootWebArea 'Enter Password Task', focused [14] paragraph '' [15] LabelText '' StaticText 'Password' [16] textbox '', clickable [17] paragraph '' [18] LabelText '' StaticText 'Verify password' [19] textbox '', clickable [20] button 'Submit', clickable</x:v>
      </x:c>
      <x:c r="R149" s="20" t="str">
        <x:v>file:///root/autodl-tmp/miniwob-plusplus/miniwob/html/miniwob/enter-password.html</x:v>
      </x:c>
      <x:c r="S149" s="20" t="str">
        <x:v>Enter Password Task</x:v>
      </x:c>
      <x:c r="T149" s="20" t="str">
        <x:v>RootWebArea 'Enter Password Task', focused [14] paragraph '' [15] LabelText '' StaticText 'Password' [16] textbox '', clickable [17] paragraph '' [18] LabelText '' StaticText 'Verify password' [19] textbox '', clickable [20] button 'Submit', clickable, focused</x:v>
      </x:c>
      <x:c r="U149" s="6" t="str">
        <x:v>0</x:v>
      </x:c>
      <x:c r="V149" s="6" t="str">
        <x:v>0</x:v>
      </x:c>
      <x:c r="W149" s="6" t="str">
        <x:v>0</x:v>
      </x:c>
      <x:c r="X149" s="6" t="str">
        <x:v>1</x:v>
      </x:c>
      <x:c r="Y149" s="6" t="str">
        <x:v>0</x:v>
      </x:c>
      <x:c r="Z149" s="6" t="str">
        <x:v>1</x:v>
      </x:c>
      <x:c r="AA149" s="6" t="str">
        <x:v>0.0</x:v>
      </x:c>
      <x:c r="AB149" s="20" t="str">
        <x:v>Codex证据复核v1：原始记录唯一匹配、环境实测、反事实配对ID完整、终止且非成功、奖励非正、队列标签与结果派生规则一致；非人工签字。</x:v>
      </x:c>
    </x:row>
    <x:row r="150" ht="46" customHeight="1">
      <x:c r="A150" s="6" t="str">
        <x:v>1</x:v>
      </x:c>
      <x:c r="B150" s="6" t="str">
        <x:v>47c7efeeb0c59e8655b1</x:v>
      </x:c>
      <x:c r="C150" s="6" t="str">
        <x:v>evidence_approved</x:v>
      </x:c>
      <x:c r="D150" s="6" t="str">
        <x:v>codex-evidence-review-v1</x:v>
      </x:c>
      <x:c r="E150" s="22" t="n">
        <x:v>46244.40206471065</x:v>
      </x:c>
      <x:c r="F150" s="6" t="str">
        <x:v>20</x:v>
      </x:c>
      <x:c r="G150" s="20" t="str">
        <x:v>observed_counterfactual;severe_failure;terminal</x:v>
      </x:c>
      <x:c r="H150" s="20" t="str">
        <x:v>browsergym/miniwob.choose-list</x:v>
      </x:c>
      <x:c r="I150" s="6" t="str">
        <x:v>browsergym/miniwob.choose-list</x:v>
      </x:c>
      <x:c r="J150" s="6" t="str">
        <x:v>cf-choose-list-seed1021-missing_target</x:v>
      </x:c>
      <x:c r="K150" s="6" t="str">
        <x:v>0</x:v>
      </x:c>
      <x:c r="L150" s="20" t="str">
        <x:v>Select Sadella from the list and click Submit.</x:v>
      </x:c>
      <x:c r="M150" s="20" t="str">
        <x:v>click("22", "left")</x:v>
      </x:c>
      <x:c r="N150" s="6" t="str">
        <x:v>0.0</x:v>
      </x:c>
      <x:c r="O150" s="20" t="str">
        <x:v>file:///root/autodl-tmp/miniwob-plusplus/miniwob/html/miniwob/choose-list.html</x:v>
      </x:c>
      <x:c r="P150" s="20" t="str">
        <x:v>Choose List Task</x:v>
      </x:c>
      <x:c r="Q150" s="20" t="str">
        <x:v>RootWebArea 'Choose List Task', focused [13] combobox '' value='Ketty', hasPopup='menu', expanded=False [22] button 'Submit', clickable</x:v>
      </x:c>
      <x:c r="R150" s="20" t="str">
        <x:v>file:///root/autodl-tmp/miniwob-plusplus/miniwob/html/miniwob/choose-list.html</x:v>
      </x:c>
      <x:c r="S150" s="20" t="str">
        <x:v>Choose List Task</x:v>
      </x:c>
      <x:c r="T150" s="20" t="str">
        <x:v>RootWebArea 'Choose List Task', focused [13] combobox '' value='Ketty', hasPopup='menu', expanded=False [22] button 'Submit', clickable, focused</x:v>
      </x:c>
      <x:c r="U150" s="6" t="str">
        <x:v>0</x:v>
      </x:c>
      <x:c r="V150" s="6" t="str">
        <x:v>0</x:v>
      </x:c>
      <x:c r="W150" s="6" t="str">
        <x:v>0</x:v>
      </x:c>
      <x:c r="X150" s="6" t="str">
        <x:v>1</x:v>
      </x:c>
      <x:c r="Y150" s="6" t="str">
        <x:v>0</x:v>
      </x:c>
      <x:c r="Z150" s="6" t="str">
        <x:v>1</x:v>
      </x:c>
      <x:c r="AA150" s="6" t="str">
        <x:v>0.0</x:v>
      </x:c>
      <x:c r="AB150" s="20" t="str">
        <x:v>Codex证据复核v1：原始记录唯一匹配、环境实测、反事实配对ID完整、终止且非成功、奖励非正、队列标签与结果派生规则一致；非人工签字。</x:v>
      </x:c>
    </x:row>
    <x:row r="151" ht="46" customHeight="1">
      <x:c r="A151" s="6" t="str">
        <x:v>1</x:v>
      </x:c>
      <x:c r="B151" s="6" t="str">
        <x:v>d072c1061b8ed8e0c466</x:v>
      </x:c>
      <x:c r="C151" s="6" t="str">
        <x:v>evidence_approved</x:v>
      </x:c>
      <x:c r="D151" s="6" t="str">
        <x:v>codex-evidence-review-v1</x:v>
      </x:c>
      <x:c r="E151" s="22" t="n">
        <x:v>46244.40206471065</x:v>
      </x:c>
      <x:c r="F151" s="6" t="str">
        <x:v>20</x:v>
      </x:c>
      <x:c r="G151" s="20" t="str">
        <x:v>observed_counterfactual;severe_failure;terminal</x:v>
      </x:c>
      <x:c r="H151" s="20" t="str">
        <x:v>browsergym/miniwob.click-dialog-2</x:v>
      </x:c>
      <x:c r="I151" s="6" t="str">
        <x:v>browsergym/miniwob.click-dialog-2</x:v>
      </x:c>
      <x:c r="J151" s="6" t="str">
        <x:v>cf-click-dialog-2-seed1010-hard_wrong_target</x:v>
      </x:c>
      <x:c r="K151" s="6" t="str">
        <x:v>0</x:v>
      </x:c>
      <x:c r="L151" s="20" t="str">
        <x:v>Click the button in the dialog box labeled "OK".</x:v>
      </x:c>
      <x:c r="M151" s="20" t="str">
        <x:v>click("20", "left")</x:v>
      </x:c>
      <x:c r="N151" s="6" t="str">
        <x:v>0.0</x:v>
      </x:c>
      <x:c r="O151" s="20" t="str">
        <x:v>file:///root/autodl-tmp/miniwob-plusplus/miniwob/html/miniwob/click-dialog-2.html</x:v>
      </x:c>
      <x:c r="P151" s="20" t="str">
        <x:v>Click Dialog Task</x:v>
      </x:c>
      <x:c r="Q151" s="20" t="str">
        <x:v>RootWebArea 'Click Dialog Task', focused [17] dialog '', clickable, modal=False, describedby='dialog' StaticText '' [20] button 'Close', clickable [24] paragraph '' StaticText 'Volutpat condimentum. Quis nulla. Sed tincidunt.' [27] button 'Cancel', clickable, focused [28] button 'OK', clickable</x:v>
      </x:c>
      <x:c r="R151" s="20" t="str">
        <x:v>file:///root/autodl-tmp/miniwob-plusplus/miniwob/html/miniwob/click-dialog-2.html</x:v>
      </x:c>
      <x:c r="S151" s="20" t="str">
        <x:v>Click Dialog Task</x:v>
      </x:c>
      <x:c r="T151" s="20" t="str">
        <x:v>RootWebArea 'Click Dialog Task', focused</x:v>
      </x:c>
      <x:c r="U151" s="6" t="str">
        <x:v>0</x:v>
      </x:c>
      <x:c r="V151" s="6" t="str">
        <x:v>0</x:v>
      </x:c>
      <x:c r="W151" s="6" t="str">
        <x:v>0</x:v>
      </x:c>
      <x:c r="X151" s="6" t="str">
        <x:v>1</x:v>
      </x:c>
      <x:c r="Y151" s="6" t="str">
        <x:v>0</x:v>
      </x:c>
      <x:c r="Z151" s="6" t="str">
        <x:v>1</x:v>
      </x:c>
      <x:c r="AA151" s="6" t="str">
        <x:v>0.0</x:v>
      </x:c>
      <x:c r="AB151" s="20" t="str">
        <x:v>Codex证据复核v1：原始记录唯一匹配、环境实测、反事实配对ID完整、终止且非成功、奖励非正、队列标签与结果派生规则一致；非人工签字。</x:v>
      </x:c>
    </x:row>
    <x:row r="152" ht="46" customHeight="1">
      <x:c r="A152" s="6" t="str">
        <x:v>1</x:v>
      </x:c>
      <x:c r="B152" s="6" t="str">
        <x:v>3498a8e1f1d98df2774e</x:v>
      </x:c>
      <x:c r="C152" s="6" t="str">
        <x:v>evidence_approved</x:v>
      </x:c>
      <x:c r="D152" s="6" t="str">
        <x:v>codex-evidence-review-v1</x:v>
      </x:c>
      <x:c r="E152" s="22" t="n">
        <x:v>46244.40206471065</x:v>
      </x:c>
      <x:c r="F152" s="6" t="str">
        <x:v>20</x:v>
      </x:c>
      <x:c r="G152" s="20" t="str">
        <x:v>observed_counterfactual;severe_failure;terminal</x:v>
      </x:c>
      <x:c r="H152" s="20" t="str">
        <x:v>browsergym/miniwob.click-tab</x:v>
      </x:c>
      <x:c r="I152" s="6" t="str">
        <x:v>browsergym/miniwob.click-tab</x:v>
      </x:c>
      <x:c r="J152" s="6" t="str">
        <x:v>cf-click-tab-seed1002-hard_wrong_target</x:v>
      </x:c>
      <x:c r="K152" s="6" t="str">
        <x:v>0</x:v>
      </x:c>
      <x:c r="L152" s="20" t="str">
        <x:v>Click on Tab #3.</x:v>
      </x:c>
      <x:c r="M152" s="20" t="str">
        <x:v>click("21", "left")</x:v>
      </x:c>
      <x:c r="N152" s="6" t="str">
        <x:v>0.0</x:v>
      </x:c>
      <x:c r="O152" s="20" t="str">
        <x:v>file:///root/autodl-tmp/miniwob-plusplus/miniwob/html/miniwob/click-tab.html</x:v>
      </x:c>
      <x:c r="P152" s="20" t="str">
        <x:v>Click Tab Task</x:v>
      </x:c>
      <x:c r="Q152"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'Quis et rutrum neque velit. Etiam feugiat sagittis convallis etiam pellentesque orci, faucibus quis. Dictum sit in. Diam nisi, urna.'</x:v>
      </x:c>
      <x:c r="R152" s="20" t="str">
        <x:v>file:///root/autodl-tmp/miniwob-plusplus/miniwob/html/miniwob/click-tab.html</x:v>
      </x:c>
      <x:c r="S152" s="20" t="str">
        <x:v>Click Tab Task</x:v>
      </x:c>
      <x:c r="T152"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'Quis et rutrum neque velit. Etiam feugiat sagittis convallis etiam pellentesque orci, faucibus quis. Dictum sit in. Diam nisi, urna.'</x:v>
      </x:c>
      <x:c r="U152" s="6" t="str">
        <x:v>0</x:v>
      </x:c>
      <x:c r="V152" s="6" t="str">
        <x:v>0</x:v>
      </x:c>
      <x:c r="W152" s="6" t="str">
        <x:v>0</x:v>
      </x:c>
      <x:c r="X152" s="6" t="str">
        <x:v>1</x:v>
      </x:c>
      <x:c r="Y152" s="6" t="str">
        <x:v>0</x:v>
      </x:c>
      <x:c r="Z152" s="6" t="str">
        <x:v>1</x:v>
      </x:c>
      <x:c r="AA152" s="6" t="str">
        <x:v>0.0</x:v>
      </x:c>
      <x:c r="AB152" s="20" t="str">
        <x:v>Codex证据复核v1：原始记录唯一匹配、环境实测、反事实配对ID完整、终止且非成功、奖励非正、队列标签与结果派生规则一致；非人工签字。</x:v>
      </x:c>
    </x:row>
    <x:row r="153" ht="46" customHeight="1">
      <x:c r="A153" s="6" t="str">
        <x:v>1</x:v>
      </x:c>
      <x:c r="B153" s="6" t="str">
        <x:v>5bfec2773b1eedbdf840</x:v>
      </x:c>
      <x:c r="C153" s="6" t="str">
        <x:v>evidence_approved</x:v>
      </x:c>
      <x:c r="D153" s="6" t="str">
        <x:v>codex-evidence-review-v1</x:v>
      </x:c>
      <x:c r="E153" s="22" t="n">
        <x:v>46244.40206471065</x:v>
      </x:c>
      <x:c r="F153" s="6" t="str">
        <x:v>20</x:v>
      </x:c>
      <x:c r="G153" s="20" t="str">
        <x:v>observed_counterfactual;severe_failure;terminal</x:v>
      </x:c>
      <x:c r="H153" s="20" t="str">
        <x:v>browsergym/miniwob.click-widget</x:v>
      </x:c>
      <x:c r="I153" s="6" t="str">
        <x:v>browsergym/miniwob.click-widget</x:v>
      </x:c>
      <x:c r="J153" s="6" t="str">
        <x:v>cf-click-widget-seed1003-hard_wrong_target</x:v>
      </x:c>
      <x:c r="K153" s="6" t="str">
        <x:v>0</x:v>
      </x:c>
      <x:c r="L153" s="20" t="str">
        <x:v>Click on a "textarea" widget.</x:v>
      </x:c>
      <x:c r="M153" s="20" t="str">
        <x:v>click("15", "left")</x:v>
      </x:c>
      <x:c r="N153" s="6" t="str">
        <x:v>0.0</x:v>
      </x:c>
      <x:c r="O153" s="20" t="str">
        <x:v>file:///root/autodl-tmp/miniwob-plusplus/miniwob/html/miniwob/click-widget.html</x:v>
      </x:c>
      <x:c r="P153" s="20" t="str">
        <x:v>Click Widget Task</x:v>
      </x:c>
      <x:c r="Q153" s="20" t="str">
        <x:v>RootWebArea 'Click Widget Task', focused [14] LabelText '', clickable [15] checkbox 'YWCJ0', clickable, checked='false' StaticText 'YWCJ0' [17] LabelText '', clickable [18] radio 'L9I', clickable, checked='false' StaticText 'L9I' [20] LabelText '', clickable [21] checkbox 'Ml7U', clickable, checked='false' StaticText 'Ml7U' [23] textbox '' value='S' StaticText 'S' [25] textbox '' value='9fx3P', clickable StaticText '9fx3P'</x:v>
      </x:c>
      <x:c r="R153" s="20" t="str">
        <x:v>file:///root/autodl-tmp/miniwob-plusplus/miniwob/html/miniwob/click-widget.html</x:v>
      </x:c>
      <x:c r="S153" s="20" t="str">
        <x:v>Click Widget Task</x:v>
      </x:c>
      <x:c r="T153" s="20" t="str">
        <x:v>RootWebArea 'Click Widget Task', focused [14] LabelText '', clickable [15] checkbox 'YWCJ0', clickable, focused, checked='true' StaticText 'YWCJ0' [17] LabelText '', clickable [18] radio 'L9I', clickable, checked='false' StaticText 'L9I' [20] LabelText '', clickable [21] checkbox 'Ml7U', clickable, checked='false' StaticText 'Ml7U' [23] textbox '' value='S' StaticText 'S' [25] textbox '' value='9fx3P', clickable StaticText '9fx3P'</x:v>
      </x:c>
      <x:c r="U153" s="6" t="str">
        <x:v>0</x:v>
      </x:c>
      <x:c r="V153" s="6" t="str">
        <x:v>0</x:v>
      </x:c>
      <x:c r="W153" s="6" t="str">
        <x:v>0</x:v>
      </x:c>
      <x:c r="X153" s="6" t="str">
        <x:v>1</x:v>
      </x:c>
      <x:c r="Y153" s="6" t="str">
        <x:v>0</x:v>
      </x:c>
      <x:c r="Z153" s="6" t="str">
        <x:v>1</x:v>
      </x:c>
      <x:c r="AA153" s="6" t="str">
        <x:v>0.0</x:v>
      </x:c>
      <x:c r="AB153" s="20" t="str">
        <x:v>Codex证据复核v1：原始记录唯一匹配、环境实测、反事实配对ID完整、终止且非成功、奖励非正、队列标签与结果派生规则一致；非人工签字。</x:v>
      </x:c>
    </x:row>
    <x:row r="154" ht="46" customHeight="1">
      <x:c r="A154" s="6" t="str">
        <x:v>1</x:v>
      </x:c>
      <x:c r="B154" s="6" t="str">
        <x:v>5df39ef238e9179b427e</x:v>
      </x:c>
      <x:c r="C154" s="6" t="str">
        <x:v>evidence_approved</x:v>
      </x:c>
      <x:c r="D154" s="6" t="str">
        <x:v>codex-evidence-review-v1</x:v>
      </x:c>
      <x:c r="E154" s="22" t="n">
        <x:v>46244.40206471065</x:v>
      </x:c>
      <x:c r="F154" s="6" t="str">
        <x:v>20</x:v>
      </x:c>
      <x:c r="G154" s="20" t="str">
        <x:v>observed_counterfactual;severe_failure;terminal</x:v>
      </x:c>
      <x:c r="H154" s="20" t="str">
        <x:v>browsergym/miniwob.click-checkboxes-soft</x:v>
      </x:c>
      <x:c r="I154" s="6" t="str">
        <x:v>browsergym/miniwob.click-checkboxes-soft</x:v>
      </x:c>
      <x:c r="J154" s="6" t="str">
        <x:v>cf-click-checkboxes-soft-seed1026-wrong_action_type</x:v>
      </x:c>
      <x:c r="K154" s="6" t="str">
        <x:v>0</x:v>
      </x:c>
      <x:c r="L154" s="20" t="str">
        <x:v>Select words similar to actual, unwise, fearless and click Submit.</x:v>
      </x:c>
      <x:c r="M154" s="20" t="str">
        <x:v>click("36", "left")</x:v>
      </x:c>
      <x:c r="N154" s="6" t="str">
        <x:v>0.0</x:v>
      </x:c>
      <x:c r="O154" s="20" t="str">
        <x:v>file:///root/autodl-tmp/miniwob-plusplus/miniwob/html/miniwob/click-checkboxes-soft.html</x:v>
      </x:c>
      <x:c r="P154" s="20" t="str">
        <x:v>Click Checkboxes Task</x:v>
      </x:c>
      <x:c r="Q154" s="20" t="str">
        <x:v>RootWebArea 'Click Checkboxes Task', focused [17] LabelText '', clickable [18] checkbox 'stupid', clickable, checked='false' StaticText 'stupid' [20] LabelText '', clickable [21] checkbox 'furious', clickable, checked='false' StaticText 'furious' [23] LabelText '', clickable [24] checkbox 'home', clickable, checked='false' StaticText 'home' [26] LabelText '', clickable [27] checkbox 'brave', clickable, checked='false' StaticText 'brave' [29] LabelText '', clickable [30] checkbox 'archaic', clickable, checked='false' StaticText 'archaic' [32] LabelText '', clickable [33] checkbox 'real', clickable, checked='false' StaticText 'real' [36] button 'Submit', clickable</x:v>
      </x:c>
      <x:c r="R154" s="20" t="str">
        <x:v>file:///root/autodl-tmp/miniwob-plusplus/miniwob/html/miniwob/click-checkboxes-soft.html</x:v>
      </x:c>
      <x:c r="S154" s="20" t="str">
        <x:v>Click Checkboxes Task</x:v>
      </x:c>
      <x:c r="T154" s="20" t="str">
        <x:v>RootWebArea 'Click Checkboxes Task', focused [17] LabelText '', clickable [18] checkbox 'stupid', clickable, checked='false' StaticText 'stupid' [20] LabelText '', clickable [21] checkbox 'furious', clickable, checked='false' StaticText 'furious' [23] LabelText '', clickable [24] checkbox 'home', clickable, checked='false' StaticText 'home' [26] LabelText '', clickable [27] checkbox 'brave', clickable, checked='false' StaticText 'brave' [29] LabelText '', clickable [30] checkbox 'archaic', clickable, checked='false' StaticText 'archaic' [32] LabelText '', clickable [33] checkbox 'real', clickable, checked='false' StaticText 'real' [36] button 'Submit', clickable, focused</x:v>
      </x:c>
      <x:c r="U154" s="6" t="str">
        <x:v>0</x:v>
      </x:c>
      <x:c r="V154" s="6" t="str">
        <x:v>0</x:v>
      </x:c>
      <x:c r="W154" s="6" t="str">
        <x:v>0</x:v>
      </x:c>
      <x:c r="X154" s="6" t="str">
        <x:v>1</x:v>
      </x:c>
      <x:c r="Y154" s="6" t="str">
        <x:v>0</x:v>
      </x:c>
      <x:c r="Z154" s="6" t="str">
        <x:v>1</x:v>
      </x:c>
      <x:c r="AA154" s="6" t="str">
        <x:v>0.0</x:v>
      </x:c>
      <x:c r="AB154" s="20" t="str">
        <x:v>Codex证据复核v1：原始记录唯一匹配、环境实测、反事实配对ID完整、终止且非成功、奖励非正、队列标签与结果派生规则一致；非人工签字。</x:v>
      </x:c>
    </x:row>
    <x:row r="155" ht="46" customHeight="1">
      <x:c r="A155" s="6" t="str">
        <x:v>1</x:v>
      </x:c>
      <x:c r="B155" s="6" t="str">
        <x:v>eaf092cd244cc063f351</x:v>
      </x:c>
      <x:c r="C155" s="6" t="str">
        <x:v>evidence_approved</x:v>
      </x:c>
      <x:c r="D155" s="6" t="str">
        <x:v>codex-evidence-review-v1</x:v>
      </x:c>
      <x:c r="E155" s="22" t="n">
        <x:v>46244.40206471065</x:v>
      </x:c>
      <x:c r="F155" s="6" t="str">
        <x:v>20</x:v>
      </x:c>
      <x:c r="G155" s="20" t="str">
        <x:v>observed_counterfactual;severe_failure;terminal</x:v>
      </x:c>
      <x:c r="H155" s="20" t="str">
        <x:v>browsergym/miniwob.choose-list</x:v>
      </x:c>
      <x:c r="I155" s="6" t="str">
        <x:v>browsergym/miniwob.choose-list</x:v>
      </x:c>
      <x:c r="J155" s="6" t="str">
        <x:v>cf-choose-list-seed1024-wrong_action_type</x:v>
      </x:c>
      <x:c r="K155" s="6" t="str">
        <x:v>0</x:v>
      </x:c>
      <x:c r="L155" s="20" t="str">
        <x:v>Select Saint Helena from the list and click Submit.</x:v>
      </x:c>
      <x:c r="M155" s="20" t="str">
        <x:v>click("17", "left")</x:v>
      </x:c>
      <x:c r="N155" s="6" t="str">
        <x:v>0.0</x:v>
      </x:c>
      <x:c r="O155" s="20" t="str">
        <x:v>file:///root/autodl-tmp/miniwob-plusplus/miniwob/html/miniwob/choose-list.html</x:v>
      </x:c>
      <x:c r="P155" s="20" t="str">
        <x:v>Choose List Task</x:v>
      </x:c>
      <x:c r="Q155" s="20" t="str">
        <x:v>RootWebArea 'Choose List Task', focused [13] combobox '' value='Bosnia and Herzegovina', hasPopup='menu', expanded=False [17] button 'Submit', clickable</x:v>
      </x:c>
      <x:c r="R155" s="20" t="str">
        <x:v>file:///root/autodl-tmp/miniwob-plusplus/miniwob/html/miniwob/choose-list.html</x:v>
      </x:c>
      <x:c r="S155" s="20" t="str">
        <x:v>Choose List Task</x:v>
      </x:c>
      <x:c r="T155" s="20" t="str">
        <x:v>RootWebArea 'Choose List Task', focused [13] combobox '' value='Bosnia and Herzegovina', hasPopup='menu', expanded=False [17] button 'Submit', clickable, focused</x:v>
      </x:c>
      <x:c r="U155" s="6" t="str">
        <x:v>0</x:v>
      </x:c>
      <x:c r="V155" s="6" t="str">
        <x:v>0</x:v>
      </x:c>
      <x:c r="W155" s="6" t="str">
        <x:v>0</x:v>
      </x:c>
      <x:c r="X155" s="6" t="str">
        <x:v>1</x:v>
      </x:c>
      <x:c r="Y155" s="6" t="str">
        <x:v>0</x:v>
      </x:c>
      <x:c r="Z155" s="6" t="str">
        <x:v>1</x:v>
      </x:c>
      <x:c r="AA155" s="6" t="str">
        <x:v>0.0</x:v>
      </x:c>
      <x:c r="AB155" s="20" t="str">
        <x:v>Codex证据复核v1：原始记录唯一匹配、环境实测、反事实配对ID完整、终止且非成功、奖励非正、队列标签与结果派生规则一致；非人工签字。</x:v>
      </x:c>
    </x:row>
    <x:row r="156" ht="46" customHeight="1">
      <x:c r="A156" s="6" t="str">
        <x:v>1</x:v>
      </x:c>
      <x:c r="B156" s="6" t="str">
        <x:v>e6e2950f0f12b4be51d1</x:v>
      </x:c>
      <x:c r="C156" s="6" t="str">
        <x:v>evidence_approved</x:v>
      </x:c>
      <x:c r="D156" s="6" t="str">
        <x:v>codex-evidence-review-v1</x:v>
      </x:c>
      <x:c r="E156" s="22" t="n">
        <x:v>46244.40206471065</x:v>
      </x:c>
      <x:c r="F156" s="6" t="str">
        <x:v>20</x:v>
      </x:c>
      <x:c r="G156" s="20" t="str">
        <x:v>observed_counterfactual;severe_failure;terminal</x:v>
      </x:c>
      <x:c r="H156" s="20" t="str">
        <x:v>browsergym/miniwob.click-widget</x:v>
      </x:c>
      <x:c r="I156" s="6" t="str">
        <x:v>browsergym/miniwob.click-widget</x:v>
      </x:c>
      <x:c r="J156" s="6" t="str">
        <x:v>cf-click-widget-seed1004-wrong_action_type</x:v>
      </x:c>
      <x:c r="K156" s="6" t="str">
        <x:v>0</x:v>
      </x:c>
      <x:c r="L156" s="20" t="str">
        <x:v>Click on a "checkbox" widget.</x:v>
      </x:c>
      <x:c r="M156" s="20" t="str">
        <x:v>click("18", "left")</x:v>
      </x:c>
      <x:c r="N156" s="6" t="str">
        <x:v>0.0</x:v>
      </x:c>
      <x:c r="O156" s="20" t="str">
        <x:v>file:///root/autodl-tmp/miniwob-plusplus/miniwob/html/miniwob/click-widget.html</x:v>
      </x:c>
      <x:c r="P156" s="20" t="str">
        <x:v>Click Widget Task</x:v>
      </x:c>
      <x:c r="Q156" s="20" t="str">
        <x:v>RootWebArea 'Click Widget Task', focused [14] LabelText '', clickable [15] checkbox 'S67zn', clickable, checked='false' StaticText 'S67zn' [17] LabelText '', clickable [18] radio 'QmJ', clickable, checked='false' StaticText 'QmJ' [20] LabelText '', clickable [21] checkbox 'sHjV', clickable, checked='false' StaticText 'sHjV' [23] LabelText '', clickable [24] radio '38hMu', clickable, checked='false' StaticText '38hMu' [26] LabelText '', clickable [27] checkbox 'mbcuP', clickable, checked='false' StaticText 'mbcuP'</x:v>
      </x:c>
      <x:c r="R156" s="20" t="str">
        <x:v>file:///root/autodl-tmp/miniwob-plusplus/miniwob/html/miniwob/click-widget.html</x:v>
      </x:c>
      <x:c r="S156" s="20" t="str">
        <x:v>Click Widget Task</x:v>
      </x:c>
      <x:c r="T156" s="20" t="str">
        <x:v>RootWebArea 'Click Widget Task', focused [14] LabelText '', clickable [15] checkbox 'S67zn', clickable, checked='false' StaticText 'S67zn' [17] LabelText '', clickable [18] radio 'QmJ', clickable, focused, checked='true' StaticText 'QmJ' [20] LabelText '', clickable [21] checkbox 'sHjV', clickable, checked='false' StaticText 'sHjV' [23] LabelText '', clickable [24] radio '38hMu', clickable, checked='false' StaticText '38hMu' [26] LabelText '', clickable [27] checkbox 'mbcuP', clickable, checked='false' StaticText 'mbcuP'</x:v>
      </x:c>
      <x:c r="U156" s="6" t="str">
        <x:v>0</x:v>
      </x:c>
      <x:c r="V156" s="6" t="str">
        <x:v>0</x:v>
      </x:c>
      <x:c r="W156" s="6" t="str">
        <x:v>0</x:v>
      </x:c>
      <x:c r="X156" s="6" t="str">
        <x:v>1</x:v>
      </x:c>
      <x:c r="Y156" s="6" t="str">
        <x:v>0</x:v>
      </x:c>
      <x:c r="Z156" s="6" t="str">
        <x:v>1</x:v>
      </x:c>
      <x:c r="AA156" s="6" t="str">
        <x:v>0.0</x:v>
      </x:c>
      <x:c r="AB156" s="20" t="str">
        <x:v>Codex证据复核v1：原始记录唯一匹配、环境实测、反事实配对ID完整、终止且非成功、奖励非正、队列标签与结果派生规则一致；非人工签字。</x:v>
      </x:c>
    </x:row>
    <x:row r="157" ht="46" customHeight="1">
      <x:c r="A157" s="6" t="str">
        <x:v>1</x:v>
      </x:c>
      <x:c r="B157" s="6" t="str">
        <x:v>a8f4084972682f86dca1</x:v>
      </x:c>
      <x:c r="C157" s="6" t="str">
        <x:v>evidence_approved</x:v>
      </x:c>
      <x:c r="D157" s="6" t="str">
        <x:v>codex-evidence-review-v1</x:v>
      </x:c>
      <x:c r="E157" s="22" t="n">
        <x:v>46244.40206471065</x:v>
      </x:c>
      <x:c r="F157" s="6" t="str">
        <x:v>20</x:v>
      </x:c>
      <x:c r="G157" s="20" t="str">
        <x:v>observed_counterfactual;severe_failure;terminal</x:v>
      </x:c>
      <x:c r="H157" s="20" t="str">
        <x:v>browsergym/miniwob.enter-password</x:v>
      </x:c>
      <x:c r="I157" s="6" t="str">
        <x:v>browsergym/miniwob.enter-password</x:v>
      </x:c>
      <x:c r="J157" s="6" t="str">
        <x:v>cf-enter-password-seed1022-hard_wrong_target</x:v>
      </x:c>
      <x:c r="K157" s="6" t="str">
        <x:v>0</x:v>
      </x:c>
      <x:c r="L157" s="20" t="str">
        <x:v>Enter the password "RAt" into both text fields and press submit.</x:v>
      </x:c>
      <x:c r="M157" s="20" t="str">
        <x:v>click("20", "left")</x:v>
      </x:c>
      <x:c r="N157" s="6" t="str">
        <x:v>0.0</x:v>
      </x:c>
      <x:c r="O157" s="20" t="str">
        <x:v>file:///root/autodl-tmp/miniwob-plusplus/miniwob/html/miniwob/enter-password.html</x:v>
      </x:c>
      <x:c r="P157" s="20" t="str">
        <x:v>Enter Password Task</x:v>
      </x:c>
      <x:c r="Q157" s="20" t="str">
        <x:v>RootWebArea 'Enter Password Task', focused [14] paragraph '' [15] LabelText '' StaticText 'Password' [16] textbox '', clickable [17] paragraph '' [18] LabelText '' StaticText 'Verify password' [19] textbox '', clickable [20] button 'Submit', clickable</x:v>
      </x:c>
      <x:c r="R157" s="20" t="str">
        <x:v>file:///root/autodl-tmp/miniwob-plusplus/miniwob/html/miniwob/enter-password.html</x:v>
      </x:c>
      <x:c r="S157" s="20" t="str">
        <x:v>Enter Password Task</x:v>
      </x:c>
      <x:c r="T157" s="20" t="str">
        <x:v>RootWebArea 'Enter Password Task', focused [14] paragraph '' [15] LabelText '' StaticText 'Password' [16] textbox '', clickable [17] paragraph '' [18] LabelText '' StaticText 'Verify password' [19] textbox '', clickable [20] button 'Submit', clickable, focused</x:v>
      </x:c>
      <x:c r="U157" s="6" t="str">
        <x:v>0</x:v>
      </x:c>
      <x:c r="V157" s="6" t="str">
        <x:v>0</x:v>
      </x:c>
      <x:c r="W157" s="6" t="str">
        <x:v>0</x:v>
      </x:c>
      <x:c r="X157" s="6" t="str">
        <x:v>1</x:v>
      </x:c>
      <x:c r="Y157" s="6" t="str">
        <x:v>0</x:v>
      </x:c>
      <x:c r="Z157" s="6" t="str">
        <x:v>1</x:v>
      </x:c>
      <x:c r="AA157" s="6" t="str">
        <x:v>0.0</x:v>
      </x:c>
      <x:c r="AB157" s="20" t="str">
        <x:v>Codex证据复核v1：原始记录唯一匹配、环境实测、反事实配对ID完整、终止且非成功、奖励非正、队列标签与结果派生规则一致；非人工签字。</x:v>
      </x:c>
    </x:row>
    <x:row r="158" ht="46" customHeight="1">
      <x:c r="A158" s="6" t="str">
        <x:v>1</x:v>
      </x:c>
      <x:c r="B158" s="6" t="str">
        <x:v>2865e51c4034bad44499</x:v>
      </x:c>
      <x:c r="C158" s="6" t="str">
        <x:v>evidence_approved</x:v>
      </x:c>
      <x:c r="D158" s="6" t="str">
        <x:v>codex-evidence-review-v1</x:v>
      </x:c>
      <x:c r="E158" s="22" t="n">
        <x:v>46244.40206471065</x:v>
      </x:c>
      <x:c r="F158" s="6" t="str">
        <x:v>20</x:v>
      </x:c>
      <x:c r="G158" s="20" t="str">
        <x:v>observed_counterfactual;severe_failure;terminal</x:v>
      </x:c>
      <x:c r="H158" s="20" t="str">
        <x:v>browsergym/miniwob.login-user</x:v>
      </x:c>
      <x:c r="I158" s="6" t="str">
        <x:v>browsergym/miniwob.login-user</x:v>
      </x:c>
      <x:c r="J158" s="6" t="str">
        <x:v>cf-login-user-seed1022-hard_wrong_target</x:v>
      </x:c>
      <x:c r="K158" s="6" t="str">
        <x:v>0</x:v>
      </x:c>
      <x:c r="L158" s="20" t="str">
        <x:v>Enter the username "nieves" and the password "AtV" into the text fields and press login.</x:v>
      </x:c>
      <x:c r="M158" s="20" t="str">
        <x:v>click("20", "left")</x:v>
      </x:c>
      <x:c r="N158" s="6" t="str">
        <x:v>0.0</x:v>
      </x:c>
      <x:c r="O158" s="20" t="str">
        <x:v>file:///root/autodl-tmp/miniwob-plusplus/miniwob/html/miniwob/login-user.html</x:v>
      </x:c>
      <x:c r="P158" s="20" t="str">
        <x:v>Login User Task</x:v>
      </x:c>
      <x:c r="Q158" s="20" t="str">
        <x:v>RootWebArea 'Login User Task', focused [14] paragraph '' [15] LabelText '' StaticText 'Username' [16] textbox '', clickable [17] paragraph '' [18] LabelText '' StaticText 'Password' [19] textbox '', clickable [20] button 'Login', clickable</x:v>
      </x:c>
      <x:c r="R158" s="20" t="str">
        <x:v>file:///root/autodl-tmp/miniwob-plusplus/miniwob/html/miniwob/login-user.html</x:v>
      </x:c>
      <x:c r="S158" s="20" t="str">
        <x:v>Login User Task</x:v>
      </x:c>
      <x:c r="T158" s="20" t="str">
        <x:v>RootWebArea 'Login User Task', focused [14] paragraph '' [15] LabelText '' StaticText 'Username' [16] textbox '', clickable [17] paragraph '' [18] LabelText '' StaticText 'Password' [19] textbox '', clickable [20] button 'Login', clickable, focused</x:v>
      </x:c>
      <x:c r="U158" s="6" t="str">
        <x:v>0</x:v>
      </x:c>
      <x:c r="V158" s="6" t="str">
        <x:v>0</x:v>
      </x:c>
      <x:c r="W158" s="6" t="str">
        <x:v>0</x:v>
      </x:c>
      <x:c r="X158" s="6" t="str">
        <x:v>1</x:v>
      </x:c>
      <x:c r="Y158" s="6" t="str">
        <x:v>0</x:v>
      </x:c>
      <x:c r="Z158" s="6" t="str">
        <x:v>1</x:v>
      </x:c>
      <x:c r="AA158" s="6" t="str">
        <x:v>0.0</x:v>
      </x:c>
      <x:c r="AB158" s="20" t="str">
        <x:v>Codex证据复核v1：原始记录唯一匹配、环境实测、反事实配对ID完整、终止且非成功、奖励非正、队列标签与结果派生规则一致；非人工签字。</x:v>
      </x:c>
    </x:row>
    <x:row r="159" ht="46" customHeight="1">
      <x:c r="A159" s="6" t="str">
        <x:v>1</x:v>
      </x:c>
      <x:c r="B159" s="6" t="str">
        <x:v>f6cd24629d1470bdd34c</x:v>
      </x:c>
      <x:c r="C159" s="6" t="str">
        <x:v>evidence_approved</x:v>
      </x:c>
      <x:c r="D159" s="6" t="str">
        <x:v>codex-evidence-review-v1</x:v>
      </x:c>
      <x:c r="E159" s="22" t="n">
        <x:v>46244.40206471065</x:v>
      </x:c>
      <x:c r="F159" s="6" t="str">
        <x:v>20</x:v>
      </x:c>
      <x:c r="G159" s="20" t="str">
        <x:v>observed_counterfactual;severe_failure;terminal</x:v>
      </x:c>
      <x:c r="H159" s="20" t="str">
        <x:v>browsergym/miniwob.click-checkboxes-soft</x:v>
      </x:c>
      <x:c r="I159" s="6" t="str">
        <x:v>browsergym/miniwob.click-checkboxes-soft</x:v>
      </x:c>
      <x:c r="J159" s="6" t="str">
        <x:v>cf-click-checkboxes-soft-seed1012-missing_target</x:v>
      </x:c>
      <x:c r="K159" s="6" t="str">
        <x:v>0</x:v>
      </x:c>
      <x:c r="L159" s="20" t="str">
        <x:v>Select words similar to afraid, vermillion and click Submit.</x:v>
      </x:c>
      <x:c r="M159" s="20" t="str">
        <x:v>click("27", "left")</x:v>
      </x:c>
      <x:c r="N159" s="6" t="str">
        <x:v>0.0</x:v>
      </x:c>
      <x:c r="O159" s="20" t="str">
        <x:v>file:///root/autodl-tmp/miniwob-plusplus/miniwob/html/miniwob/click-checkboxes-soft.html</x:v>
      </x:c>
      <x:c r="P159" s="20" t="str">
        <x:v>Click Checkboxes Task</x:v>
      </x:c>
      <x:c r="Q159" s="20" t="str">
        <x:v>RootWebArea 'Click Checkboxes Task', focused [17] LabelText '', clickable [18] checkbox 'panicked', clickable, checked='false' StaticText 'panicked' [20] LabelText '', clickable [21] checkbox 'scarlet', clickable, checked='false' StaticText 'scarlet' [23] LabelText '', clickable [24] checkbox 'flames', clickable, checked='false' StaticText 'flames' [27] button 'Submit', clickable</x:v>
      </x:c>
      <x:c r="R159" s="20" t="str">
        <x:v>file:///root/autodl-tmp/miniwob-plusplus/miniwob/html/miniwob/click-checkboxes-soft.html</x:v>
      </x:c>
      <x:c r="S159" s="20" t="str">
        <x:v>Click Checkboxes Task</x:v>
      </x:c>
      <x:c r="T159" s="20" t="str">
        <x:v>RootWebArea 'Click Checkboxes Task', focused [17] LabelText '', clickable [18] checkbox 'panicked', clickable, checked='false' StaticText 'panicked' [20] LabelText '', clickable [21] checkbox 'scarlet', clickable, checked='false' StaticText 'scarlet' [23] LabelText '', clickable [24] checkbox 'flames', clickable, checked='false' StaticText 'flames' [27] button 'Submit', clickable, focused</x:v>
      </x:c>
      <x:c r="U159" s="6" t="str">
        <x:v>0</x:v>
      </x:c>
      <x:c r="V159" s="6" t="str">
        <x:v>0</x:v>
      </x:c>
      <x:c r="W159" s="6" t="str">
        <x:v>0</x:v>
      </x:c>
      <x:c r="X159" s="6" t="str">
        <x:v>1</x:v>
      </x:c>
      <x:c r="Y159" s="6" t="str">
        <x:v>0</x:v>
      </x:c>
      <x:c r="Z159" s="6" t="str">
        <x:v>1</x:v>
      </x:c>
      <x:c r="AA159" s="6" t="str">
        <x:v>0.0</x:v>
      </x:c>
      <x:c r="AB159" s="20" t="str">
        <x:v>Codex证据复核v1：原始记录唯一匹配、环境实测、反事实配对ID完整、终止且非成功、奖励非正、队列标签与结果派生规则一致；非人工签字。</x:v>
      </x:c>
    </x:row>
    <x:row r="160" ht="46" customHeight="1">
      <x:c r="A160" s="6" t="str">
        <x:v>1</x:v>
      </x:c>
      <x:c r="B160" s="6" t="str">
        <x:v>b47870843bb32cf707e2</x:v>
      </x:c>
      <x:c r="C160" s="6" t="str">
        <x:v>evidence_approved</x:v>
      </x:c>
      <x:c r="D160" s="6" t="str">
        <x:v>codex-evidence-review-v1</x:v>
      </x:c>
      <x:c r="E160" s="22" t="n">
        <x:v>46244.40206471065</x:v>
      </x:c>
      <x:c r="F160" s="6" t="str">
        <x:v>20</x:v>
      </x:c>
      <x:c r="G160" s="20" t="str">
        <x:v>observed_counterfactual;severe_failure;terminal</x:v>
      </x:c>
      <x:c r="H160" s="20" t="str">
        <x:v>browsergym/miniwob.scroll-text-2</x:v>
      </x:c>
      <x:c r="I160" s="6" t="str">
        <x:v>browsergym/miniwob.scroll-text-2</x:v>
      </x:c>
      <x:c r="J160" s="6" t="str">
        <x:v>cf-scroll-text-2-seed1009-hard_wrong_target</x:v>
      </x:c>
      <x:c r="K160" s="6" t="str">
        <x:v>0</x:v>
      </x:c>
      <x:c r="L160" s="20" t="str">
        <x:v>Scroll the textarea to the top of the text hit submit.</x:v>
      </x:c>
      <x:c r="M160" s="20" t="str">
        <x:v>click("14", "left")</x:v>
      </x:c>
      <x:c r="N160" s="6" t="str">
        <x:v>0.0</x:v>
      </x:c>
      <x:c r="O160" s="20" t="str">
        <x:v>file:///root/autodl-tmp/miniwob-plusplus/miniwob/html/miniwob/scroll-text-2.html</x:v>
      </x:c>
      <x:c r="P160" s="20" t="str">
        <x:v>Scroll Text Task</x:v>
      </x:c>
      <x:c r="Q160" s="20" t="str">
        <x:v>RootWebArea 'Scroll Text Task', focused [13] textbox '' value='Urna. Sed. Sit pellentesque duis. Sagittis, pulvinar vivamus ac diam amet malesuada neque varius eget vulputate tellus, id metus,. Venenatis nascetur mauris arcu donec aliquam consectetur quis nisi, nisl sapien semper eleifend ut tellus nulla hendrerit morbi cras amet, dolor hendrerit. Quisque nulla urna, amet pulvinar tempor. Id aliquam libero. In.' StaticText 'Urna. Sed. Sit pellentesque duis. Sagittis, pulvinar vivamus ac diam amet malesuada neque varius eget vulputate tellus, id metus,. Venenatis nascetur mauris arcu donec aliquam consectetur quis nisi, nisl sapien semper eleifend ut tellus nulla hendrerit morbi cras amet, dolor hendrerit. Quisque nulla urna, amet pulvinar tempor. Id aliquam libero. In.' [14] button 'Submit', clickable</x:v>
      </x:c>
      <x:c r="R160" s="20" t="str">
        <x:v>file:///root/autodl-tmp/miniwob-plusplus/miniwob/html/miniwob/scroll-text-2.html</x:v>
      </x:c>
      <x:c r="S160" s="20" t="str">
        <x:v>Scroll Text Task</x:v>
      </x:c>
      <x:c r="T160" s="20" t="str">
        <x:v>RootWebArea 'Scroll Text Task', focused [13] textbox '' value='Urna. Sed. Sit pellentesque duis. Sagittis, pulvinar vivamus ac diam amet malesuada neque varius eget vulputate tellus, id metus,. Venenatis nascetur mauris arcu donec aliquam consectetur quis nisi, nisl sapien semper eleifend ut tellus nulla hendrerit morbi cras amet, dolor hendrerit. Quisque nulla urna, amet pulvinar tempor. Id aliquam libero. In.' StaticText 'Urna. Sed. Sit pellentesque duis. Sagittis, pulvinar vivamus ac diam amet malesuada neque varius eget vulputate tellus, id metus,. Venenatis nascetur mauris arcu donec aliquam consectetur quis nisi, nisl sapien semper eleifend ut tellus nulla hendrerit morbi cras amet, dolor hendrerit. Quisque nulla urna, amet pulvinar tempor. Id aliquam libero. In.' [14] button 'Submit', clickable, focused</x:v>
      </x:c>
      <x:c r="U160" s="6" t="str">
        <x:v>0</x:v>
      </x:c>
      <x:c r="V160" s="6" t="str">
        <x:v>0</x:v>
      </x:c>
      <x:c r="W160" s="6" t="str">
        <x:v>0</x:v>
      </x:c>
      <x:c r="X160" s="6" t="str">
        <x:v>1</x:v>
      </x:c>
      <x:c r="Y160" s="6" t="str">
        <x:v>0</x:v>
      </x:c>
      <x:c r="Z160" s="6" t="str">
        <x:v>1</x:v>
      </x:c>
      <x:c r="AA160" s="6" t="str">
        <x:v>0.0</x:v>
      </x:c>
      <x:c r="AB160" s="20" t="str">
        <x:v>Codex证据复核v1：原始记录唯一匹配、环境实测、反事实配对ID完整、终止且非成功、奖励非正、队列标签与结果派生规则一致；非人工签字。</x:v>
      </x:c>
    </x:row>
    <x:row r="161" ht="46" customHeight="1">
      <x:c r="A161" s="6" t="str">
        <x:v>1</x:v>
      </x:c>
      <x:c r="B161" s="6" t="str">
        <x:v>e4f3a4a8d04e3760e04f</x:v>
      </x:c>
      <x:c r="C161" s="6" t="str">
        <x:v>evidence_approved</x:v>
      </x:c>
      <x:c r="D161" s="6" t="str">
        <x:v>codex-evidence-review-v1</x:v>
      </x:c>
      <x:c r="E161" s="22" t="n">
        <x:v>46244.40206471065</x:v>
      </x:c>
      <x:c r="F161" s="6" t="str">
        <x:v>20</x:v>
      </x:c>
      <x:c r="G161" s="20" t="str">
        <x:v>observed_counterfactual;severe_failure;terminal</x:v>
      </x:c>
      <x:c r="H161" s="20" t="str">
        <x:v>browsergym/miniwob.click-menu</x:v>
      </x:c>
      <x:c r="I161" s="6" t="str">
        <x:v>browsergym/miniwob.click-menu</x:v>
      </x:c>
      <x:c r="J161" s="6" t="str">
        <x:v>cf-click-menu-seed1005-hard_wrong_target</x:v>
      </x:c>
      <x:c r="K161" s="6" t="str">
        <x:v>0</x:v>
      </x:c>
      <x:c r="L161" s="20" t="str">
        <x:v>Select Penelopa&gt;Maureen</x:v>
      </x:c>
      <x:c r="M161" s="20" t="str">
        <x:v>click("21", "left")</x:v>
      </x:c>
      <x:c r="N161" s="6" t="str">
        <x:v>0.0</x:v>
      </x:c>
      <x:c r="O161" s="20" t="str">
        <x:v>file:///root/autodl-tmp/miniwob-plusplus/miniwob/html/miniwob/click-menu.html</x:v>
      </x:c>
      <x:c r="P161" s="20" t="str">
        <x:v>Click Menu Task</x:v>
      </x:c>
      <x:c r="Q161" s="20" t="str">
        <x:v>RootWebArea 'Click Menu Task', focused [17] menu '', clickable, orientation='vertical' image '' [19] menuitem 'Cinnamon' image '' [21] menuitem 'Lina', hasPopup='menu' image '' [31] menuitem 'Penelopa', hasPopup='menu' image '' [61] menuitem 'Yetta'</x:v>
      </x:c>
      <x:c r="R161" s="20" t="str">
        <x:v>file:///root/autodl-tmp/miniwob-plusplus/miniwob/html/miniwob/click-menu.html</x:v>
      </x:c>
      <x:c r="S161" s="20" t="str">
        <x:v>Click Menu Task</x:v>
      </x:c>
      <x:c r="T161" s="20" t="str">
        <x:v>RootWebArea 'Click Menu Task', focused [17] menu '', clickable, orientation='vertical' image '' [19] menuitem 'Cinnamon' image '' [21] menuitem 'Lina', hasPopup='menu' [23] menu '', orientation='vertical' image '' [25] menuitem 'Fran' image '' [27] menuitem 'Deane' image '' [29] menuitem 'Casey' image '' [31] menuitem 'Penelopa', hasPopup='menu' image '' [61] menuitem 'Yetta'</x:v>
      </x:c>
      <x:c r="U161" s="6" t="str">
        <x:v>0</x:v>
      </x:c>
      <x:c r="V161" s="6" t="str">
        <x:v>0</x:v>
      </x:c>
      <x:c r="W161" s="6" t="str">
        <x:v>0</x:v>
      </x:c>
      <x:c r="X161" s="6" t="str">
        <x:v>1</x:v>
      </x:c>
      <x:c r="Y161" s="6" t="str">
        <x:v>0</x:v>
      </x:c>
      <x:c r="Z161" s="6" t="str">
        <x:v>1</x:v>
      </x:c>
      <x:c r="AA161" s="6" t="str">
        <x:v>0.0</x:v>
      </x:c>
      <x:c r="AB161" s="20" t="str">
        <x:v>Codex证据复核v1：原始记录唯一匹配、环境实测、反事实配对ID完整、终止且非成功、奖励非正、队列标签与结果派生规则一致；非人工签字。</x:v>
      </x:c>
    </x:row>
    <x:row r="162" ht="46" customHeight="1">
      <x:c r="A162" s="6" t="str">
        <x:v>1</x:v>
      </x:c>
      <x:c r="B162" s="6" t="str">
        <x:v>d5623e56f5c613cba40f</x:v>
      </x:c>
      <x:c r="C162" s="6" t="str">
        <x:v>evidence_approved</x:v>
      </x:c>
      <x:c r="D162" s="6" t="str">
        <x:v>codex-evidence-review-v1</x:v>
      </x:c>
      <x:c r="E162" s="22" t="n">
        <x:v>46244.40206471065</x:v>
      </x:c>
      <x:c r="F162" s="6" t="str">
        <x:v>20</x:v>
      </x:c>
      <x:c r="G162" s="20" t="str">
        <x:v>observed_counterfactual;severe_failure;terminal</x:v>
      </x:c>
      <x:c r="H162" s="20" t="str">
        <x:v>browsergym/miniwob.click-menu</x:v>
      </x:c>
      <x:c r="I162" s="6" t="str">
        <x:v>browsergym/miniwob.click-menu</x:v>
      </x:c>
      <x:c r="J162" s="6" t="str">
        <x:v>cf-click-menu-seed1031-wrong_action_type</x:v>
      </x:c>
      <x:c r="K162" s="6" t="str">
        <x:v>0</x:v>
      </x:c>
      <x:c r="L162" s="20" t="str">
        <x:v>Select Arlie&gt;Adelina</x:v>
      </x:c>
      <x:c r="M162" s="20" t="str">
        <x:v>click("19", "left")</x:v>
      </x:c>
      <x:c r="N162" s="6" t="str">
        <x:v>0.0</x:v>
      </x:c>
      <x:c r="O162" s="20" t="str">
        <x:v>file:///root/autodl-tmp/miniwob-plusplus/miniwob/html/miniwob/click-menu.html</x:v>
      </x:c>
      <x:c r="P162" s="20" t="str">
        <x:v>Click Menu Task</x:v>
      </x:c>
      <x:c r="Q162" s="20" t="str">
        <x:v>RootWebArea 'Click Menu Task', focused [17] menu '', clickable, orientation='vertical' image '' [19] menuitem 'Arlie', hasPopup='menu' image '' [37] menuitem 'Betti', hasPopup='menu' image '' [63] menuitem 'Merrielle', hasPopup='menu' image '' [73] menuitem 'Genny', hasPopup='menu'</x:v>
      </x:c>
      <x:c r="R162" s="20" t="str">
        <x:v>file:///root/autodl-tmp/miniwob-plusplus/miniwob/html/miniwob/click-menu.html</x:v>
      </x:c>
      <x:c r="S162" s="20" t="str">
        <x:v>Click Menu Task</x:v>
      </x:c>
      <x:c r="T162" s="20" t="str">
        <x:v>RootWebArea 'Click Menu Task', focused [17] menu '', clickable, orientation='vertical' image '' [19] menuitem 'Arlie', hasPopup='menu' [21] menu '', orientation='vertical' image '' [23] menuitem 'Adelina' image '' [25] menuitem 'Wilie', hasPopup='menu' image '' [35] menuitem 'Dominga' image '' [37] menuitem 'Betti', hasPopup='menu' image '' [63] menuitem 'Merrielle', hasPopup='menu' image '' [73] menuitem 'Genny', hasPopup='menu'</x:v>
      </x:c>
      <x:c r="U162" s="6" t="str">
        <x:v>0</x:v>
      </x:c>
      <x:c r="V162" s="6" t="str">
        <x:v>0</x:v>
      </x:c>
      <x:c r="W162" s="6" t="str">
        <x:v>0</x:v>
      </x:c>
      <x:c r="X162" s="6" t="str">
        <x:v>1</x:v>
      </x:c>
      <x:c r="Y162" s="6" t="str">
        <x:v>0</x:v>
      </x:c>
      <x:c r="Z162" s="6" t="str">
        <x:v>1</x:v>
      </x:c>
      <x:c r="AA162" s="6" t="str">
        <x:v>0.0</x:v>
      </x:c>
      <x:c r="AB162" s="20" t="str">
        <x:v>Codex证据复核v1：原始记录唯一匹配、环境实测、反事实配对ID完整、终止且非成功、奖励非正、队列标签与结果派生规则一致；非人工签字。</x:v>
      </x:c>
    </x:row>
    <x:row r="163" ht="46" customHeight="1">
      <x:c r="A163" s="6" t="str">
        <x:v>1</x:v>
      </x:c>
      <x:c r="B163" s="6" t="str">
        <x:v>3bec5881c4817cc49cca</x:v>
      </x:c>
      <x:c r="C163" s="6" t="str">
        <x:v>evidence_approved</x:v>
      </x:c>
      <x:c r="D163" s="6" t="str">
        <x:v>codex-evidence-review-v1</x:v>
      </x:c>
      <x:c r="E163" s="22" t="n">
        <x:v>46244.40206471065</x:v>
      </x:c>
      <x:c r="F163" s="6" t="str">
        <x:v>20</x:v>
      </x:c>
      <x:c r="G163" s="20" t="str">
        <x:v>observed_counterfactual;severe_failure;terminal</x:v>
      </x:c>
      <x:c r="H163" s="20" t="str">
        <x:v>browsergym/miniwob.choose-list</x:v>
      </x:c>
      <x:c r="I163" s="6" t="str">
        <x:v>browsergym/miniwob.choose-list</x:v>
      </x:c>
      <x:c r="J163" s="6" t="str">
        <x:v>cf-choose-list-seed1009-missing_target</x:v>
      </x:c>
      <x:c r="K163" s="6" t="str">
        <x:v>0</x:v>
      </x:c>
      <x:c r="L163" s="20" t="str">
        <x:v>Select Edna from the list and click Submit.</x:v>
      </x:c>
      <x:c r="M163" s="20" t="str">
        <x:v>click("21", "left")</x:v>
      </x:c>
      <x:c r="N163" s="6" t="str">
        <x:v>0.0</x:v>
      </x:c>
      <x:c r="O163" s="20" t="str">
        <x:v>file:///root/autodl-tmp/miniwob-plusplus/miniwob/html/miniwob/choose-list.html</x:v>
      </x:c>
      <x:c r="P163" s="20" t="str">
        <x:v>Choose List Task</x:v>
      </x:c>
      <x:c r="Q163" s="20" t="str">
        <x:v>RootWebArea 'Choose List Task', focused [13] combobox '' value='Sharlene', hasPopup='menu', expanded=False [21] button 'Submit', clickable</x:v>
      </x:c>
      <x:c r="R163" s="20" t="str">
        <x:v>file:///root/autodl-tmp/miniwob-plusplus/miniwob/html/miniwob/choose-list.html</x:v>
      </x:c>
      <x:c r="S163" s="20" t="str">
        <x:v>Choose List Task</x:v>
      </x:c>
      <x:c r="T163" s="20" t="str">
        <x:v>RootWebArea 'Choose List Task', focused [13] combobox '' value='Sharlene', hasPopup='menu', expanded=False [21] button 'Submit', clickable, focused</x:v>
      </x:c>
      <x:c r="U163" s="6" t="str">
        <x:v>0</x:v>
      </x:c>
      <x:c r="V163" s="6" t="str">
        <x:v>0</x:v>
      </x:c>
      <x:c r="W163" s="6" t="str">
        <x:v>0</x:v>
      </x:c>
      <x:c r="X163" s="6" t="str">
        <x:v>1</x:v>
      </x:c>
      <x:c r="Y163" s="6" t="str">
        <x:v>0</x:v>
      </x:c>
      <x:c r="Z163" s="6" t="str">
        <x:v>1</x:v>
      </x:c>
      <x:c r="AA163" s="6" t="str">
        <x:v>0.0</x:v>
      </x:c>
      <x:c r="AB163" s="20" t="str">
        <x:v>Codex证据复核v1：原始记录唯一匹配、环境实测、反事实配对ID完整、终止且非成功、奖励非正、队列标签与结果派生规则一致；非人工签字。</x:v>
      </x:c>
    </x:row>
    <x:row r="164" ht="46" customHeight="1">
      <x:c r="A164" s="6" t="str">
        <x:v>1</x:v>
      </x:c>
      <x:c r="B164" s="6" t="str">
        <x:v>4153942578192db35ca3</x:v>
      </x:c>
      <x:c r="C164" s="6" t="str">
        <x:v>evidence_approved</x:v>
      </x:c>
      <x:c r="D164" s="6" t="str">
        <x:v>codex-evidence-review-v1</x:v>
      </x:c>
      <x:c r="E164" s="22" t="n">
        <x:v>46244.40206471065</x:v>
      </x:c>
      <x:c r="F164" s="6" t="str">
        <x:v>20</x:v>
      </x:c>
      <x:c r="G164" s="20" t="str">
        <x:v>observed_counterfactual;severe_failure;terminal</x:v>
      </x:c>
      <x:c r="H164" s="20" t="str">
        <x:v>browsergym/miniwob.scroll-text-2</x:v>
      </x:c>
      <x:c r="I164" s="6" t="str">
        <x:v>browsergym/miniwob.scroll-text-2</x:v>
      </x:c>
      <x:c r="J164" s="6" t="str">
        <x:v>cf-scroll-text-2-seed1007-hard_wrong_target</x:v>
      </x:c>
      <x:c r="K164" s="6" t="str">
        <x:v>0</x:v>
      </x:c>
      <x:c r="L164" s="20" t="str">
        <x:v>Scroll the textarea to the top of the text hit submit.</x:v>
      </x:c>
      <x:c r="M164" s="20" t="str">
        <x:v>click("14", "left")</x:v>
      </x:c>
      <x:c r="N164" s="6" t="str">
        <x:v>0.0</x:v>
      </x:c>
      <x:c r="O164" s="20" t="str">
        <x:v>file:///root/autodl-tmp/miniwob-plusplus/miniwob/html/miniwob/scroll-text-2.html</x:v>
      </x:c>
      <x:c r="P164" s="20" t="str">
        <x:v>Scroll Text Task</x:v>
      </x:c>
      <x:c r="Q164" s="20" t="str">
        <x:v>RootWebArea 'Scroll Text Task', focused [13] textbox '' value='Tristique tempor sit vitae cras. Nullam pharetra est etiam sagittis elit consectetur commodo amet. Ultrices molestie posuere morbi urna tortor. Tellus. Enim gravida. Vitae, in dolor sit tristique sapien in in. Pellentesque sit lacinia donec nibh sagittis ut id vel sit praesent purus mattis mattis turpis at nunc. Felis vel bibendum rhoncus. Orci posuere quam. In nunc, odio tristique. Lacus. Velit mi odio. Odio neque integer pharetra, vitae integer tortor nunc, malesuada gravida quis amet duis nunc donec. Porttitor accumsan dignissim ultricies dignissim varius sit diam … StaticText 'Tristique tempor sit vitae cras. Nullam pharetra est etiam sagittis elit consectetur commodo amet. Ultrices molestie posuere morbi urna tortor. Tellus. Enim gravida. Vitae, in dolor sit tristique sapien in in. Pellentesque sit lacinia donec nibh sa…</x:v>
      </x:c>
      <x:c r="R164" s="20" t="str">
        <x:v>file:///root/autodl-tmp/miniwob-plusplus/miniwob/html/miniwob/scroll-text-2.html</x:v>
      </x:c>
      <x:c r="S164" s="20" t="str">
        <x:v>Scroll Text Task</x:v>
      </x:c>
      <x:c r="T164" s="20" t="str">
        <x:v>RootWebArea 'Scroll Text Task', focused [13] textbox '' value='Tristique tempor sit vitae cras. Nullam pharetra est etiam sagittis elit consectetur commodo amet. Ultrices molestie posuere morbi urna tortor. Tellus. Enim gravida. Vitae, in dolor sit tristique sapien in in. Pellentesque sit lacinia donec nibh sagittis ut id vel sit praesent purus mattis mattis turpis at nunc. Felis vel bibendum rhoncus. Orci posuere quam. In nunc, odio tristique. Lacus. Velit mi odio. Odio neque integer pharetra, vitae integer tortor nunc, malesuada gravida quis amet duis nunc donec. Porttitor accumsan dignissim ultricies dignissim varius sit diam … StaticText 'Tristique tempor sit vitae cras. Nullam pharetra est etiam sagittis elit consectetur commodo amet. Ultrices molestie posuere morbi urna tortor. Tellus. Enim gravida. Vitae, in dolor sit tristique sapien in in. Pellentesque sit lacinia donec nibh sa…</x:v>
      </x:c>
      <x:c r="U164" s="6" t="str">
        <x:v>0</x:v>
      </x:c>
      <x:c r="V164" s="6" t="str">
        <x:v>0</x:v>
      </x:c>
      <x:c r="W164" s="6" t="str">
        <x:v>0</x:v>
      </x:c>
      <x:c r="X164" s="6" t="str">
        <x:v>1</x:v>
      </x:c>
      <x:c r="Y164" s="6" t="str">
        <x:v>0</x:v>
      </x:c>
      <x:c r="Z164" s="6" t="str">
        <x:v>1</x:v>
      </x:c>
      <x:c r="AA164" s="6" t="str">
        <x:v>0.0</x:v>
      </x:c>
      <x:c r="AB164" s="20" t="str">
        <x:v>Codex证据复核v1：原始记录唯一匹配、环境实测、反事实配对ID完整、终止且非成功、奖励非正、队列标签与结果派生规则一致；非人工签字。</x:v>
      </x:c>
    </x:row>
    <x:row r="165" ht="46" customHeight="1">
      <x:c r="A165" s="6" t="str">
        <x:v>1</x:v>
      </x:c>
      <x:c r="B165" s="6" t="str">
        <x:v>803a9e1ba46e549a382f</x:v>
      </x:c>
      <x:c r="C165" s="6" t="str">
        <x:v>evidence_approved</x:v>
      </x:c>
      <x:c r="D165" s="6" t="str">
        <x:v>codex-evidence-review-v1</x:v>
      </x:c>
      <x:c r="E165" s="22" t="n">
        <x:v>46244.40206471065</x:v>
      </x:c>
      <x:c r="F165" s="6" t="str">
        <x:v>20</x:v>
      </x:c>
      <x:c r="G165" s="20" t="str">
        <x:v>observed_counterfactual;severe_failure;terminal</x:v>
      </x:c>
      <x:c r="H165" s="20" t="str">
        <x:v>browsergym/miniwob.scroll-text-2</x:v>
      </x:c>
      <x:c r="I165" s="6" t="str">
        <x:v>browsergym/miniwob.scroll-text-2</x:v>
      </x:c>
      <x:c r="J165" s="6" t="str">
        <x:v>cf-scroll-text-2-seed1021-hard_wrong_target</x:v>
      </x:c>
      <x:c r="K165" s="6" t="str">
        <x:v>0</x:v>
      </x:c>
      <x:c r="L165" s="20" t="str">
        <x:v>Scroll the textarea to the top of the text hit submit.</x:v>
      </x:c>
      <x:c r="M165" s="20" t="str">
        <x:v>click("14", "left")</x:v>
      </x:c>
      <x:c r="N165" s="6" t="str">
        <x:v>0.0</x:v>
      </x:c>
      <x:c r="O165" s="20" t="str">
        <x:v>file:///root/autodl-tmp/miniwob-plusplus/miniwob/html/miniwob/scroll-text-2.html</x:v>
      </x:c>
      <x:c r="P165" s="20" t="str">
        <x:v>Scroll Text Task</x:v>
      </x:c>
      <x:c r="Q165" s="20" t="str">
        <x:v>RootWebArea 'Scroll Text Task', focused [13] textbox '' value='Dolor mattis lorem molestie malesuada pulvinar nec sagittis volutpat bibendum fermentum euismod scelerisque. Aliquet. Aenean. In sed erat parturient libero. Egestas consectetur. Tincidunt etiam sit. Eget proin volutpat. Auctor. Quis et, elementum. Praesent in interdum tempus, amet. Accumsan commodo, adipiscing ultrices amet vulputate facilisi nibh duis mattis metus, scelerisque viverra ultrices est in at odio. Mi.' StaticText 'Dolor mattis lorem molestie malesuada pulvinar nec sagittis volutpat bibendum fermentum euismod scelerisque. Aliquet. Aenean. In sed erat parturient libero. Egestas consectetur. Tincidunt etiam sit. Eget proin volutpat. Auctor. Quis et, elementum. Praesent in interdum tempus, amet. Accumsan commodo, adipiscing ultrices amet vulputate facilisi nibh duis mattis metus, scelerisque viverra ultrices est in …</x:v>
      </x:c>
      <x:c r="R165" s="20" t="str">
        <x:v>file:///root/autodl-tmp/miniwob-plusplus/miniwob/html/miniwob/scroll-text-2.html</x:v>
      </x:c>
      <x:c r="S165" s="20" t="str">
        <x:v>Scroll Text Task</x:v>
      </x:c>
      <x:c r="T165" s="20" t="str">
        <x:v>RootWebArea 'Scroll Text Task', focused [13] textbox '' value='Dolor mattis lorem molestie malesuada pulvinar nec sagittis volutpat bibendum fermentum euismod scelerisque. Aliquet. Aenean. In sed erat parturient libero. Egestas consectetur. Tincidunt etiam sit. Eget proin volutpat. Auctor. Quis et, elementum. Praesent in interdum tempus, amet. Accumsan commodo, adipiscing ultrices amet vulputate facilisi nibh duis mattis metus, scelerisque viverra ultrices est in at odio. Mi.' StaticText 'Dolor mattis lorem molestie malesuada pulvinar nec sagittis volutpat bibendum fermentum euismod scelerisque. Aliquet. Aenean. In sed erat parturient libero. Egestas consectetur. Tincidunt etiam sit. Eget proin volutpat. Auctor. Quis et, elementum. Praesent in interdum tempus, amet. Accumsan commodo, adipiscing ultrices amet vulputate facilisi nibh duis mattis metus, scelerisque viverra ultrices est in …</x:v>
      </x:c>
      <x:c r="U165" s="6" t="str">
        <x:v>0</x:v>
      </x:c>
      <x:c r="V165" s="6" t="str">
        <x:v>0</x:v>
      </x:c>
      <x:c r="W165" s="6" t="str">
        <x:v>0</x:v>
      </x:c>
      <x:c r="X165" s="6" t="str">
        <x:v>1</x:v>
      </x:c>
      <x:c r="Y165" s="6" t="str">
        <x:v>0</x:v>
      </x:c>
      <x:c r="Z165" s="6" t="str">
        <x:v>1</x:v>
      </x:c>
      <x:c r="AA165" s="6" t="str">
        <x:v>0.0</x:v>
      </x:c>
      <x:c r="AB165" s="20" t="str">
        <x:v>Codex证据复核v1：原始记录唯一匹配、环境实测、反事实配对ID完整、终止且非成功、奖励非正、队列标签与结果派生规则一致；非人工签字。</x:v>
      </x:c>
    </x:row>
    <x:row r="166" ht="46" customHeight="1">
      <x:c r="A166" s="6" t="str">
        <x:v>1</x:v>
      </x:c>
      <x:c r="B166" s="6" t="str">
        <x:v>cb733111361b3e936c9a</x:v>
      </x:c>
      <x:c r="C166" s="6" t="str">
        <x:v>evidence_approved</x:v>
      </x:c>
      <x:c r="D166" s="6" t="str">
        <x:v>codex-evidence-review-v1</x:v>
      </x:c>
      <x:c r="E166" s="22" t="n">
        <x:v>46244.40206471065</x:v>
      </x:c>
      <x:c r="F166" s="6" t="str">
        <x:v>20</x:v>
      </x:c>
      <x:c r="G166" s="20" t="str">
        <x:v>observed_counterfactual;severe_failure;terminal</x:v>
      </x:c>
      <x:c r="H166" s="20" t="str">
        <x:v>browsergym/miniwob.choose-list</x:v>
      </x:c>
      <x:c r="I166" s="6" t="str">
        <x:v>browsergym/miniwob.choose-list</x:v>
      </x:c>
      <x:c r="J166" s="6" t="str">
        <x:v>cf-choose-list-seed1033-missing_target</x:v>
      </x:c>
      <x:c r="K166" s="6" t="str">
        <x:v>0</x:v>
      </x:c>
      <x:c r="L166" s="20" t="str">
        <x:v>Select Iran from the list and click Submit.</x:v>
      </x:c>
      <x:c r="M166" s="20" t="str">
        <x:v>click("23", "left")</x:v>
      </x:c>
      <x:c r="N166" s="6" t="str">
        <x:v>0.0</x:v>
      </x:c>
      <x:c r="O166" s="20" t="str">
        <x:v>file:///root/autodl-tmp/miniwob-plusplus/miniwob/html/miniwob/choose-list.html</x:v>
      </x:c>
      <x:c r="P166" s="20" t="str">
        <x:v>Choose List Task</x:v>
      </x:c>
      <x:c r="Q166" s="20" t="str">
        <x:v>RootWebArea 'Choose List Task', focused [13] combobox '' value='Kiribati', hasPopup='menu', expanded=False [23] button 'Submit', clickable</x:v>
      </x:c>
      <x:c r="R166" s="20" t="str">
        <x:v>file:///root/autodl-tmp/miniwob-plusplus/miniwob/html/miniwob/choose-list.html</x:v>
      </x:c>
      <x:c r="S166" s="20" t="str">
        <x:v>Choose List Task</x:v>
      </x:c>
      <x:c r="T166" s="20" t="str">
        <x:v>RootWebArea 'Choose List Task', focused [13] combobox '' value='Kiribati', hasPopup='menu', expanded=False [23] button 'Submit', clickable, focused</x:v>
      </x:c>
      <x:c r="U166" s="6" t="str">
        <x:v>0</x:v>
      </x:c>
      <x:c r="V166" s="6" t="str">
        <x:v>0</x:v>
      </x:c>
      <x:c r="W166" s="6" t="str">
        <x:v>0</x:v>
      </x:c>
      <x:c r="X166" s="6" t="str">
        <x:v>1</x:v>
      </x:c>
      <x:c r="Y166" s="6" t="str">
        <x:v>0</x:v>
      </x:c>
      <x:c r="Z166" s="6" t="str">
        <x:v>1</x:v>
      </x:c>
      <x:c r="AA166" s="6" t="str">
        <x:v>0.0</x:v>
      </x:c>
      <x:c r="AB166" s="20" t="str">
        <x:v>Codex证据复核v1：原始记录唯一匹配、环境实测、反事实配对ID完整、终止且非成功、奖励非正、队列标签与结果派生规则一致；非人工签字。</x:v>
      </x:c>
    </x:row>
    <x:row r="167" ht="46" customHeight="1">
      <x:c r="A167" s="6" t="str">
        <x:v>1</x:v>
      </x:c>
      <x:c r="B167" s="6" t="str">
        <x:v>45f938ff039ba1807be6</x:v>
      </x:c>
      <x:c r="C167" s="6" t="str">
        <x:v>evidence_approved</x:v>
      </x:c>
      <x:c r="D167" s="6" t="str">
        <x:v>codex-evidence-review-v1</x:v>
      </x:c>
      <x:c r="E167" s="22" t="n">
        <x:v>46244.40206471065</x:v>
      </x:c>
      <x:c r="F167" s="6" t="str">
        <x:v>20</x:v>
      </x:c>
      <x:c r="G167" s="20" t="str">
        <x:v>observed_counterfactual;severe_failure;terminal</x:v>
      </x:c>
      <x:c r="H167" s="20" t="str">
        <x:v>browsergym/miniwob.click-test-2</x:v>
      </x:c>
      <x:c r="I167" s="6" t="str">
        <x:v>browsergym/miniwob.click-test-2</x:v>
      </x:c>
      <x:c r="J167" s="6" t="str">
        <x:v>cf-click-test-2-seed1000-hard_wrong_target</x:v>
      </x:c>
      <x:c r="K167" s="6" t="str">
        <x:v>0</x:v>
      </x:c>
      <x:c r="L167" s="20" t="str">
        <x:v>Click button ONE.</x:v>
      </x:c>
      <x:c r="M167" s="20" t="str">
        <x:v>click("14", "left")</x:v>
      </x:c>
      <x:c r="N167" s="6" t="str">
        <x:v>0.0</x:v>
      </x:c>
      <x:c r="O167" s="20" t="str">
        <x:v>file:///root/autodl-tmp/miniwob-plusplus/miniwob/html/miniwob/click-test-2.html</x:v>
      </x:c>
      <x:c r="P167" s="20" t="str">
        <x:v>Click Test Task</x:v>
      </x:c>
      <x:c r="Q167" s="20" t="str">
        <x:v>RootWebArea 'Click Test Task', focused [13] button 'ONE', clickable [14] button 'TWO', clickable</x:v>
      </x:c>
      <x:c r="R167" s="20" t="str">
        <x:v>file:///root/autodl-tmp/miniwob-plusplus/miniwob/html/miniwob/click-test-2.html</x:v>
      </x:c>
      <x:c r="S167" s="20" t="str">
        <x:v>Click Test Task</x:v>
      </x:c>
      <x:c r="T167" s="20" t="str">
        <x:v>RootWebArea 'Click Test Task', focused [13] button 'ONE', clickable [14] button 'TWO', clickable, focused</x:v>
      </x:c>
      <x:c r="U167" s="6" t="str">
        <x:v>0</x:v>
      </x:c>
      <x:c r="V167" s="6" t="str">
        <x:v>0</x:v>
      </x:c>
      <x:c r="W167" s="6" t="str">
        <x:v>0</x:v>
      </x:c>
      <x:c r="X167" s="6" t="str">
        <x:v>1</x:v>
      </x:c>
      <x:c r="Y167" s="6" t="str">
        <x:v>0</x:v>
      </x:c>
      <x:c r="Z167" s="6" t="str">
        <x:v>1</x:v>
      </x:c>
      <x:c r="AA167" s="6" t="str">
        <x:v>0.0</x:v>
      </x:c>
      <x:c r="AB167" s="20" t="str">
        <x:v>Codex证据复核v1：原始记录唯一匹配、环境实测、反事实配对ID完整、终止且非成功、奖励非正、队列标签与结果派生规则一致；非人工签字。</x:v>
      </x:c>
    </x:row>
    <x:row r="168" ht="46" customHeight="1">
      <x:c r="A168" s="6" t="str">
        <x:v>1</x:v>
      </x:c>
      <x:c r="B168" s="6" t="str">
        <x:v>cf69b05efe03632050dd</x:v>
      </x:c>
      <x:c r="C168" s="6" t="str">
        <x:v>evidence_approved</x:v>
      </x:c>
      <x:c r="D168" s="6" t="str">
        <x:v>codex-evidence-review-v1</x:v>
      </x:c>
      <x:c r="E168" s="22" t="n">
        <x:v>46244.40206471065</x:v>
      </x:c>
      <x:c r="F168" s="6" t="str">
        <x:v>20</x:v>
      </x:c>
      <x:c r="G168" s="20" t="str">
        <x:v>observed_counterfactual;severe_failure;terminal</x:v>
      </x:c>
      <x:c r="H168" s="20" t="str">
        <x:v>browsergym/miniwob.enter-text-dynamic</x:v>
      </x:c>
      <x:c r="I168" s="6" t="str">
        <x:v>browsergym/miniwob.enter-text-dynamic</x:v>
      </x:c>
      <x:c r="J168" s="6" t="str">
        <x:v>cf-enter-text-dynamic-seed1018-hard_wrong_target</x:v>
      </x:c>
      <x:c r="K168" s="6" t="str">
        <x:v>0</x:v>
      </x:c>
      <x:c r="L168" s="20" t="str">
        <x:v>Enter "A" into the text field and press Submit.</x:v>
      </x:c>
      <x:c r="M168" s="20" t="str">
        <x:v>click("15", "left")</x:v>
      </x:c>
      <x:c r="N168" s="6" t="str">
        <x:v>0.0</x:v>
      </x:c>
      <x:c r="O168" s="20" t="str">
        <x:v>file:///root/autodl-tmp/miniwob-plusplus/miniwob/html/miniwob/enter-text-dynamic.html</x:v>
      </x:c>
      <x:c r="P168" s="20" t="str">
        <x:v>Enter Dynamic Text Task</x:v>
      </x:c>
      <x:c r="Q168" s="20" t="str">
        <x:v>RootWebArea 'Enter Dynamic Text Task', focused [14] textbox '', clickable [15] button 'Submit', clickable</x:v>
      </x:c>
      <x:c r="R168" s="20" t="str">
        <x:v>file:///root/autodl-tmp/miniwob-plusplus/miniwob/html/miniwob/enter-text-dynamic.html</x:v>
      </x:c>
      <x:c r="S168" s="20" t="str">
        <x:v>Enter Dynamic Text Task</x:v>
      </x:c>
      <x:c r="T168" s="20" t="str">
        <x:v>RootWebArea 'Enter Dynamic Text Task', focused [14] textbox '', clickable [15] button 'Submit', clickable, focused</x:v>
      </x:c>
      <x:c r="U168" s="6" t="str">
        <x:v>0</x:v>
      </x:c>
      <x:c r="V168" s="6" t="str">
        <x:v>0</x:v>
      </x:c>
      <x:c r="W168" s="6" t="str">
        <x:v>0</x:v>
      </x:c>
      <x:c r="X168" s="6" t="str">
        <x:v>1</x:v>
      </x:c>
      <x:c r="Y168" s="6" t="str">
        <x:v>0</x:v>
      </x:c>
      <x:c r="Z168" s="6" t="str">
        <x:v>1</x:v>
      </x:c>
      <x:c r="AA168" s="6" t="str">
        <x:v>0.0</x:v>
      </x:c>
      <x:c r="AB168" s="20" t="str">
        <x:v>Codex证据复核v1：原始记录唯一匹配、环境实测、反事实配对ID完整、终止且非成功、奖励非正、队列标签与结果派生规则一致；非人工签字。</x:v>
      </x:c>
    </x:row>
    <x:row r="169" ht="46" customHeight="1">
      <x:c r="A169" s="6" t="str">
        <x:v>1</x:v>
      </x:c>
      <x:c r="B169" s="6" t="str">
        <x:v>06dc2802977c052fa002</x:v>
      </x:c>
      <x:c r="C169" s="6" t="str">
        <x:v>evidence_approved</x:v>
      </x:c>
      <x:c r="D169" s="6" t="str">
        <x:v>codex-evidence-review-v1</x:v>
      </x:c>
      <x:c r="E169" s="22" t="n">
        <x:v>46244.40206471065</x:v>
      </x:c>
      <x:c r="F169" s="6" t="str">
        <x:v>20</x:v>
      </x:c>
      <x:c r="G169" s="20" t="str">
        <x:v>observed_counterfactual;severe_failure;terminal</x:v>
      </x:c>
      <x:c r="H169" s="20" t="str">
        <x:v>browsergym/miniwob.click-menu</x:v>
      </x:c>
      <x:c r="I169" s="6" t="str">
        <x:v>browsergym/miniwob.click-menu</x:v>
      </x:c>
      <x:c r="J169" s="6" t="str">
        <x:v>cf-click-menu-seed1014-missing_target</x:v>
      </x:c>
      <x:c r="K169" s="6" t="str">
        <x:v>0</x:v>
      </x:c>
      <x:c r="L169" s="20" t="str">
        <x:v>Select Lotte&gt;Cecilia&gt;Matelda</x:v>
      </x:c>
      <x:c r="M169" s="20" t="str">
        <x:v>click("21", "left")</x:v>
      </x:c>
      <x:c r="N169" s="6" t="str">
        <x:v>0.0</x:v>
      </x:c>
      <x:c r="O169" s="20" t="str">
        <x:v>file:///root/autodl-tmp/miniwob-plusplus/miniwob/html/miniwob/click-menu.html</x:v>
      </x:c>
      <x:c r="P169" s="20" t="str">
        <x:v>Click Menu Task</x:v>
      </x:c>
      <x:c r="Q169" s="20" t="str">
        <x:v>RootWebArea 'Click Menu Task', focused [17] menu '', clickable, orientation='vertical' image '' [19] menuitem 'Karla' image '' [21] menuitem 'Lotte', hasPopup='menu'</x:v>
      </x:c>
      <x:c r="R169" s="20" t="str">
        <x:v>file:///root/autodl-tmp/miniwob-plusplus/miniwob/html/miniwob/click-menu.html</x:v>
      </x:c>
      <x:c r="S169" s="20" t="str">
        <x:v>Click Menu Task</x:v>
      </x:c>
      <x:c r="T169" s="20" t="str">
        <x:v>RootWebArea 'Click Menu Task', focused [17] menu '', clickable, orientation='vertical' image '' [19] menuitem 'Karla' image '' [21] menuitem 'Lotte', hasPopup='menu' [23] menu '', orientation='vertical' image '' [25] menuitem 'Cecilia', hasPopup='menu' image '' [37] menuitem 'Lilyan', hasPopup='menu'</x:v>
      </x:c>
      <x:c r="U169" s="6" t="str">
        <x:v>0</x:v>
      </x:c>
      <x:c r="V169" s="6" t="str">
        <x:v>0</x:v>
      </x:c>
      <x:c r="W169" s="6" t="str">
        <x:v>0</x:v>
      </x:c>
      <x:c r="X169" s="6" t="str">
        <x:v>1</x:v>
      </x:c>
      <x:c r="Y169" s="6" t="str">
        <x:v>0</x:v>
      </x:c>
      <x:c r="Z169" s="6" t="str">
        <x:v>1</x:v>
      </x:c>
      <x:c r="AA169" s="6" t="str">
        <x:v>0.0</x:v>
      </x:c>
      <x:c r="AB169" s="20" t="str">
        <x:v>Codex证据复核v1：原始记录唯一匹配、环境实测、反事实配对ID完整、终止且非成功、奖励非正、队列标签与结果派生规则一致；非人工签字。</x:v>
      </x:c>
    </x:row>
    <x:row r="170" ht="46" customHeight="1">
      <x:c r="A170" s="6" t="str">
        <x:v>1</x:v>
      </x:c>
      <x:c r="B170" s="6" t="str">
        <x:v>d9cfeb0be39e3dbc895e</x:v>
      </x:c>
      <x:c r="C170" s="6" t="str">
        <x:v>evidence_approved</x:v>
      </x:c>
      <x:c r="D170" s="6" t="str">
        <x:v>codex-evidence-review-v1</x:v>
      </x:c>
      <x:c r="E170" s="22" t="n">
        <x:v>46244.40206471065</x:v>
      </x:c>
      <x:c r="F170" s="6" t="str">
        <x:v>20</x:v>
      </x:c>
      <x:c r="G170" s="20" t="str">
        <x:v>observed_counterfactual;severe_failure;terminal</x:v>
      </x:c>
      <x:c r="H170" s="20" t="str">
        <x:v>browsergym/miniwob.sign-agreement</x:v>
      </x:c>
      <x:c r="I170" s="6" t="str">
        <x:v>browsergym/miniwob.sign-agreement</x:v>
      </x:c>
      <x:c r="J170" s="6" t="str">
        <x:v>cf-sign-agreement-seed1024-hard_wrong_target</x:v>
      </x:c>
      <x:c r="K170" s="6" t="str">
        <x:v>0</x:v>
      </x:c>
      <x:c r="L170" s="20" t="str">
        <x:v>Scroll to the bottom of the textarea, enter the name "Olin" then press "Cancel"</x:v>
      </x:c>
      <x:c r="M170" s="20" t="str">
        <x:v>click("17", "left")</x:v>
      </x:c>
      <x:c r="N170" s="6" t="str">
        <x:v>0.0</x:v>
      </x:c>
      <x:c r="O170" s="20" t="str">
        <x:v>file:///root/autodl-tmp/miniwob-plusplus/miniwob/html/miniwob/sign-agreement.html</x:v>
      </x:c>
      <x:c r="P170" s="20" t="str">
        <x:v>Sign Agreement Task</x:v>
      </x:c>
      <x:c r="Q170" s="20" t="str">
        <x:v>RootWebArea 'Sign Agreement Task', focused [14] heading 'User agreement' [15] textbox '' value='Adipiscing condimentum tortor urna, volutpat sapien consectetur aliquet ipsum proin scelerisque phasellus nunc in egestas. Nunc egestas turpis aenean. Tortor nec eget. Nunc sem euismod volutpat proin. Ultrices condimentum arcu. Nunc iaculis nisl quis suspendisse sit a, dolor lacus, et lectus. Tempus tempor aenean diam a quam sed sed. Tellus id sed et. Sit augue consectetur molestie nibh non habitasse vel. Risus vitae diam. Eu vel ac. Nunc tristique amet suspendisse aliquam, cursus aliquet. Nibh tincidunt. Lacus, proin. Eget platea commodo semper pretium arcu. Est. Lob… StaticText 'Adipiscing condimentum tortor urna, volutpat sapien consectetur aliquet ipsum proin scelerisque phasellus nunc in egestas. Nunc egestas turpis aenean. Tortor nec eget. Nunc sem euismod volutpat proin. Ultrices condi…</x:v>
      </x:c>
      <x:c r="R170" s="20" t="str">
        <x:v>file:///root/autodl-tmp/miniwob-plusplus/miniwob/html/miniwob/sign-agreement.html</x:v>
      </x:c>
      <x:c r="S170" s="20" t="str">
        <x:v>Sign Agreement Task</x:v>
      </x:c>
      <x:c r="T170" s="20" t="str">
        <x:v>RootWebArea 'Sign Agreement Task', focused [14] heading 'User agreement' [15] textbox '' value='Adipiscing condimentum tortor urna, volutpat sapien consectetur aliquet ipsum proin scelerisque phasellus nunc in egestas. Nunc egestas turpis aenean. Tortor nec eget. Nunc sem euismod volutpat proin. Ultrices condimentum arcu. Nunc iaculis nisl quis suspendisse sit a, dolor lacus, et lectus. Tempus tempor aenean diam a quam sed sed. Tellus id sed et. Sit augue consectetur molestie nibh non habitasse vel. Risus vitae diam. Eu vel ac. Nunc tristique amet suspendisse aliquam, cursus aliquet. Nibh tincidunt. Lacus, proin. Eget platea commodo semper pretium arcu. Est. Lob… StaticText 'Adipiscing condimentum tortor urna, volutpat sapien consectetur aliquet ipsum proin scelerisque phasellus nunc in egestas. Nunc egestas turpis aenean. Tortor nec eget. Nunc sem euismod volutpat proin. Ultrices condi…</x:v>
      </x:c>
      <x:c r="U170" s="6" t="str">
        <x:v>0</x:v>
      </x:c>
      <x:c r="V170" s="6" t="str">
        <x:v>0</x:v>
      </x:c>
      <x:c r="W170" s="6" t="str">
        <x:v>0</x:v>
      </x:c>
      <x:c r="X170" s="6" t="str">
        <x:v>1</x:v>
      </x:c>
      <x:c r="Y170" s="6" t="str">
        <x:v>0</x:v>
      </x:c>
      <x:c r="Z170" s="6" t="str">
        <x:v>1</x:v>
      </x:c>
      <x:c r="AA170" s="6" t="str">
        <x:v>0.0</x:v>
      </x:c>
      <x:c r="AB170" s="20" t="str">
        <x:v>Codex证据复核v1：原始记录唯一匹配、环境实测、反事实配对ID完整、终止且非成功、奖励非正、队列标签与结果派生规则一致；非人工签字。</x:v>
      </x:c>
    </x:row>
    <x:row r="171" ht="46" customHeight="1">
      <x:c r="A171" s="6" t="str">
        <x:v>1</x:v>
      </x:c>
      <x:c r="B171" s="6" t="str">
        <x:v>11ff35bf28dfe2a934c9</x:v>
      </x:c>
      <x:c r="C171" s="6" t="str">
        <x:v>evidence_approved</x:v>
      </x:c>
      <x:c r="D171" s="6" t="str">
        <x:v>codex-evidence-review-v1</x:v>
      </x:c>
      <x:c r="E171" s="22" t="n">
        <x:v>46244.40206471065</x:v>
      </x:c>
      <x:c r="F171" s="6" t="str">
        <x:v>20</x:v>
      </x:c>
      <x:c r="G171" s="20" t="str">
        <x:v>observed_counterfactual;severe_failure;terminal</x:v>
      </x:c>
      <x:c r="H171" s="20" t="str">
        <x:v>browsergym/miniwob.click-menu</x:v>
      </x:c>
      <x:c r="I171" s="6" t="str">
        <x:v>browsergym/miniwob.click-menu</x:v>
      </x:c>
      <x:c r="J171" s="6" t="str">
        <x:v>cf-click-menu-seed1039-hard_wrong_target</x:v>
      </x:c>
      <x:c r="K171" s="6" t="str">
        <x:v>0</x:v>
      </x:c>
      <x:c r="L171" s="20" t="str">
        <x:v>Select Roselle&gt;Kaitlynn</x:v>
      </x:c>
      <x:c r="M171" s="20" t="str">
        <x:v>click("19", "left")</x:v>
      </x:c>
      <x:c r="N171" s="6" t="str">
        <x:v>0.0</x:v>
      </x:c>
      <x:c r="O171" s="20" t="str">
        <x:v>file:///root/autodl-tmp/miniwob-plusplus/miniwob/html/miniwob/click-menu.html</x:v>
      </x:c>
      <x:c r="P171" s="20" t="str">
        <x:v>Click Menu Task</x:v>
      </x:c>
      <x:c r="Q171" s="20" t="str">
        <x:v>RootWebArea 'Click Menu Task', focused [17] menu '', clickable, orientation='vertical' image '' [19] menuitem 'Lia' image '' [21] menuitem 'Roselle', hasPopup='menu' image '' [49] menuitem 'Philippine'</x:v>
      </x:c>
      <x:c r="R171" s="20" t="str">
        <x:v>file:///root/autodl-tmp/miniwob-plusplus/miniwob/html/miniwob/click-menu.html</x:v>
      </x:c>
      <x:c r="S171" s="20" t="str">
        <x:v>Click Menu Task</x:v>
      </x:c>
      <x:c r="T171" s="20" t="str">
        <x:v>RootWebArea 'Click Menu Task', focused [17] menu '', clickable, orientation='vertical' image '' [19] menuitem 'Lia' image '' [21] menuitem 'Roselle', hasPopup='menu' image '' [49] menuitem 'Philippine'</x:v>
      </x:c>
      <x:c r="U171" s="6" t="str">
        <x:v>0</x:v>
      </x:c>
      <x:c r="V171" s="6" t="str">
        <x:v>0</x:v>
      </x:c>
      <x:c r="W171" s="6" t="str">
        <x:v>0</x:v>
      </x:c>
      <x:c r="X171" s="6" t="str">
        <x:v>1</x:v>
      </x:c>
      <x:c r="Y171" s="6" t="str">
        <x:v>0</x:v>
      </x:c>
      <x:c r="Z171" s="6" t="str">
        <x:v>1</x:v>
      </x:c>
      <x:c r="AA171" s="6" t="str">
        <x:v>0.0</x:v>
      </x:c>
      <x:c r="AB171" s="20" t="str">
        <x:v>Codex证据复核v1：原始记录唯一匹配、环境实测、反事实配对ID完整、终止且非成功、奖励非正、队列标签与结果派生规则一致；非人工签字。</x:v>
      </x:c>
    </x:row>
    <x:row r="172" ht="46" customHeight="1">
      <x:c r="A172" s="6" t="str">
        <x:v>1</x:v>
      </x:c>
      <x:c r="B172" s="6" t="str">
        <x:v>08c86aed0383d1133c3f</x:v>
      </x:c>
      <x:c r="C172" s="6" t="str">
        <x:v>evidence_approved</x:v>
      </x:c>
      <x:c r="D172" s="6" t="str">
        <x:v>codex-evidence-review-v1</x:v>
      </x:c>
      <x:c r="E172" s="22" t="n">
        <x:v>46244.40206471065</x:v>
      </x:c>
      <x:c r="F172" s="6" t="str">
        <x:v>20</x:v>
      </x:c>
      <x:c r="G172" s="20" t="str">
        <x:v>observed_counterfactual;severe_failure;terminal</x:v>
      </x:c>
      <x:c r="H172" s="20" t="str">
        <x:v>browsergym/miniwob.choose-list</x:v>
      </x:c>
      <x:c r="I172" s="6" t="str">
        <x:v>browsergym/miniwob.choose-list</x:v>
      </x:c>
      <x:c r="J172" s="6" t="str">
        <x:v>cf-choose-list-seed1017-wrong_action_type</x:v>
      </x:c>
      <x:c r="K172" s="6" t="str">
        <x:v>0</x:v>
      </x:c>
      <x:c r="L172" s="20" t="str">
        <x:v>Select United States from the list and click Submit.</x:v>
      </x:c>
      <x:c r="M172" s="20" t="str">
        <x:v>click("23", "left")</x:v>
      </x:c>
      <x:c r="N172" s="6" t="str">
        <x:v>0.0</x:v>
      </x:c>
      <x:c r="O172" s="20" t="str">
        <x:v>file:///root/autodl-tmp/miniwob-plusplus/miniwob/html/miniwob/choose-list.html</x:v>
      </x:c>
      <x:c r="P172" s="20" t="str">
        <x:v>Choose List Task</x:v>
      </x:c>
      <x:c r="Q172" s="20" t="str">
        <x:v>RootWebArea 'Choose List Task', focused [13] combobox '' value='Zimbabwe', hasPopup='menu', expanded=False [23] button 'Submit', clickable</x:v>
      </x:c>
      <x:c r="R172" s="20" t="str">
        <x:v>file:///root/autodl-tmp/miniwob-plusplus/miniwob/html/miniwob/choose-list.html</x:v>
      </x:c>
      <x:c r="S172" s="20" t="str">
        <x:v>Choose List Task</x:v>
      </x:c>
      <x:c r="T172" s="20" t="str">
        <x:v>RootWebArea 'Choose List Task', focused [13] combobox '' value='Zimbabwe', hasPopup='menu', expanded=False [23] button 'Submit', clickable, focused</x:v>
      </x:c>
      <x:c r="U172" s="6" t="str">
        <x:v>0</x:v>
      </x:c>
      <x:c r="V172" s="6" t="str">
        <x:v>0</x:v>
      </x:c>
      <x:c r="W172" s="6" t="str">
        <x:v>0</x:v>
      </x:c>
      <x:c r="X172" s="6" t="str">
        <x:v>1</x:v>
      </x:c>
      <x:c r="Y172" s="6" t="str">
        <x:v>0</x:v>
      </x:c>
      <x:c r="Z172" s="6" t="str">
        <x:v>1</x:v>
      </x:c>
      <x:c r="AA172" s="6" t="str">
        <x:v>0.0</x:v>
      </x:c>
      <x:c r="AB172" s="20" t="str">
        <x:v>Codex证据复核v1：原始记录唯一匹配、环境实测、反事实配对ID完整、终止且非成功、奖励非正、队列标签与结果派生规则一致；非人工签字。</x:v>
      </x:c>
    </x:row>
    <x:row r="173" ht="46" customHeight="1">
      <x:c r="A173" s="6" t="str">
        <x:v>1</x:v>
      </x:c>
      <x:c r="B173" s="6" t="str">
        <x:v>d0960fb442bfa659cecb</x:v>
      </x:c>
      <x:c r="C173" s="6" t="str">
        <x:v>evidence_approved</x:v>
      </x:c>
      <x:c r="D173" s="6" t="str">
        <x:v>codex-evidence-review-v1</x:v>
      </x:c>
      <x:c r="E173" s="22" t="n">
        <x:v>46244.40206471065</x:v>
      </x:c>
      <x:c r="F173" s="6" t="str">
        <x:v>20</x:v>
      </x:c>
      <x:c r="G173" s="20" t="str">
        <x:v>observed_counterfactual;severe_failure;terminal</x:v>
      </x:c>
      <x:c r="H173" s="20" t="str">
        <x:v>browsergym/miniwob.click-menu</x:v>
      </x:c>
      <x:c r="I173" s="6" t="str">
        <x:v>browsergym/miniwob.click-menu</x:v>
      </x:c>
      <x:c r="J173" s="6" t="str">
        <x:v>cf-click-menu-seed1013-wrong_action_type</x:v>
      </x:c>
      <x:c r="K173" s="6" t="str">
        <x:v>0</x:v>
      </x:c>
      <x:c r="L173" s="20" t="str">
        <x:v>Select Constantina&gt;Sharai</x:v>
      </x:c>
      <x:c r="M173" s="20" t="str">
        <x:v>click("19", "left")</x:v>
      </x:c>
      <x:c r="N173" s="6" t="str">
        <x:v>0.0</x:v>
      </x:c>
      <x:c r="O173" s="20" t="str">
        <x:v>file:///root/autodl-tmp/miniwob-plusplus/miniwob/html/miniwob/click-menu.html</x:v>
      </x:c>
      <x:c r="P173" s="20" t="str">
        <x:v>Click Menu Task</x:v>
      </x:c>
      <x:c r="Q173" s="20" t="str">
        <x:v>RootWebArea 'Click Menu Task', focused [17] menu '', clickable, orientation='vertical' image '' [19] menuitem 'Constantina', hasPopup='menu' image '' [27] menuitem 'Berti'</x:v>
      </x:c>
      <x:c r="R173" s="20" t="str">
        <x:v>file:///root/autodl-tmp/miniwob-plusplus/miniwob/html/miniwob/click-menu.html</x:v>
      </x:c>
      <x:c r="S173" s="20" t="str">
        <x:v>Click Menu Task</x:v>
      </x:c>
      <x:c r="T173" s="20" t="str">
        <x:v>RootWebArea 'Click Menu Task', focused [17] menu '', clickable, orientation='vertical' image '' [19] menuitem 'Constantina', hasPopup='menu' [21] menu '', orientation='vertical' image '' [23] menuitem 'Sharai' image '' [25] menuitem 'Berry' image '' [27] menuitem 'Berti'</x:v>
      </x:c>
      <x:c r="U173" s="6" t="str">
        <x:v>0</x:v>
      </x:c>
      <x:c r="V173" s="6" t="str">
        <x:v>0</x:v>
      </x:c>
      <x:c r="W173" s="6" t="str">
        <x:v>0</x:v>
      </x:c>
      <x:c r="X173" s="6" t="str">
        <x:v>1</x:v>
      </x:c>
      <x:c r="Y173" s="6" t="str">
        <x:v>0</x:v>
      </x:c>
      <x:c r="Z173" s="6" t="str">
        <x:v>1</x:v>
      </x:c>
      <x:c r="AA173" s="6" t="str">
        <x:v>0.0</x:v>
      </x:c>
      <x:c r="AB173" s="20" t="str">
        <x:v>Codex证据复核v1：原始记录唯一匹配、环境实测、反事实配对ID完整、终止且非成功、奖励非正、队列标签与结果派生规则一致；非人工签字。</x:v>
      </x:c>
    </x:row>
    <x:row r="174" ht="46" customHeight="1">
      <x:c r="A174" s="6" t="str">
        <x:v>1</x:v>
      </x:c>
      <x:c r="B174" s="6" t="str">
        <x:v>038211d8d924e6eae25e</x:v>
      </x:c>
      <x:c r="C174" s="6" t="str">
        <x:v>evidence_approved</x:v>
      </x:c>
      <x:c r="D174" s="6" t="str">
        <x:v>codex-evidence-review-v1</x:v>
      </x:c>
      <x:c r="E174" s="22" t="n">
        <x:v>46244.40206471065</x:v>
      </x:c>
      <x:c r="F174" s="6" t="str">
        <x:v>20</x:v>
      </x:c>
      <x:c r="G174" s="20" t="str">
        <x:v>observed_counterfactual;severe_failure;terminal</x:v>
      </x:c>
      <x:c r="H174" s="20" t="str">
        <x:v>browsergym/miniwob.click-collapsible</x:v>
      </x:c>
      <x:c r="I174" s="6" t="str">
        <x:v>browsergym/miniwob.click-collapsible</x:v>
      </x:c>
      <x:c r="J174" s="6" t="str">
        <x:v>cf-click-collapsible-seed1030-hard_wrong_target</x:v>
      </x:c>
      <x:c r="K174" s="6" t="str">
        <x:v>0</x:v>
      </x:c>
      <x:c r="L174" s="20" t="str">
        <x:v>Expand the section below and click submit.</x:v>
      </x:c>
      <x:c r="M174" s="20" t="str">
        <x:v>click("19", "left")</x:v>
      </x:c>
      <x:c r="N174" s="6" t="str">
        <x:v>0.0</x:v>
      </x:c>
      <x:c r="O174" s="20" t="str">
        <x:v>file:///root/autodl-tmp/miniwob-plusplus/miniwob/html/miniwob/click-collapsible.html</x:v>
      </x:c>
      <x:c r="P174" s="20" t="str">
        <x:v>Click Collapsible Task</x:v>
      </x:c>
      <x:c r="Q174" s="20" t="str">
        <x:v>RootWebArea 'Click Collapsible Task', focused [15] tablist '', multiselectable=False, orientation='horizontal' [16] tab 'Section #13', clickable, expanded=False, selected=False, controls='ui-id-2' [19] tab 'Submit', clickable, expanded=False, selected=False [22] button 'Submit', clickable</x:v>
      </x:c>
      <x:c r="R174" s="20" t="str">
        <x:v>file:///root/autodl-tmp/miniwob-plusplus/miniwob/html/miniwob/click-collapsible.html</x:v>
      </x:c>
      <x:c r="S174" s="20" t="str">
        <x:v>Click Collapsible Task</x:v>
      </x:c>
      <x:c r="T174" s="20" t="str">
        <x:v>RootWebArea 'Click Collapsible Task', focused [15] tablist '', multiselectable=False, orientation='horizontal' [16] tab 'Section #13', clickable, expanded=False, selected=False, controls='ui-id-2' [19] tab 'Submit', clickable, expanded=False, selected=False [22] button 'Submit', clickable, focused</x:v>
      </x:c>
      <x:c r="U174" s="6" t="str">
        <x:v>0</x:v>
      </x:c>
      <x:c r="V174" s="6" t="str">
        <x:v>0</x:v>
      </x:c>
      <x:c r="W174" s="6" t="str">
        <x:v>0</x:v>
      </x:c>
      <x:c r="X174" s="6" t="str">
        <x:v>1</x:v>
      </x:c>
      <x:c r="Y174" s="6" t="str">
        <x:v>0</x:v>
      </x:c>
      <x:c r="Z174" s="6" t="str">
        <x:v>1</x:v>
      </x:c>
      <x:c r="AA174" s="6" t="str">
        <x:v>0.0</x:v>
      </x:c>
      <x:c r="AB174" s="20" t="str">
        <x:v>Codex证据复核v1：原始记录唯一匹配、环境实测、反事实配对ID完整、终止且非成功、奖励非正、队列标签与结果派生规则一致；非人工签字。</x:v>
      </x:c>
    </x:row>
    <x:row r="175" ht="46" customHeight="1">
      <x:c r="A175" s="6" t="str">
        <x:v>1</x:v>
      </x:c>
      <x:c r="B175" s="6" t="str">
        <x:v>bac1e60f3e80d0bcd35a</x:v>
      </x:c>
      <x:c r="C175" s="6" t="str">
        <x:v>evidence_approved</x:v>
      </x:c>
      <x:c r="D175" s="6" t="str">
        <x:v>codex-evidence-review-v1</x:v>
      </x:c>
      <x:c r="E175" s="22" t="n">
        <x:v>46244.40206471065</x:v>
      </x:c>
      <x:c r="F175" s="6" t="str">
        <x:v>20</x:v>
      </x:c>
      <x:c r="G175" s="20" t="str">
        <x:v>observed_counterfactual;severe_failure;terminal</x:v>
      </x:c>
      <x:c r="H175" s="20" t="str">
        <x:v>browsergym/miniwob.click-widget</x:v>
      </x:c>
      <x:c r="I175" s="6" t="str">
        <x:v>browsergym/miniwob.click-widget</x:v>
      </x:c>
      <x:c r="J175" s="6" t="str">
        <x:v>cf-click-widget-seed1019-wrong_action_type</x:v>
      </x:c>
      <x:c r="K175" s="6" t="str">
        <x:v>0</x:v>
      </x:c>
      <x:c r="L175" s="20" t="str">
        <x:v>Click on a "checkbox" widget.</x:v>
      </x:c>
      <x:c r="M175" s="20" t="str">
        <x:v>click("19", "left")</x:v>
      </x:c>
      <x:c r="N175" s="6" t="str">
        <x:v>0.0</x:v>
      </x:c>
      <x:c r="O175" s="20" t="str">
        <x:v>file:///root/autodl-tmp/miniwob-plusplus/miniwob/html/miniwob/click-widget.html</x:v>
      </x:c>
      <x:c r="P175" s="20" t="str">
        <x:v>Click Widget Task</x:v>
      </x:c>
      <x:c r="Q175" s="20" t="str">
        <x:v>RootWebArea 'Click Widget Task', focused [14] LabelText '', clickable [15] checkbox 'QTT', clickable, checked='false' StaticText 'QTT' [17] textbox '' value='GYhN' StaticText 'GYhN' [19] button 'VNjQ' [21] LabelText '', clickable [22] checkbox '7', clickable, checked='false' StaticText '7' [24] LabelText '', clickable [25] checkbox 'cACj', clickable, checked='false' StaticText 'cACj'</x:v>
      </x:c>
      <x:c r="R175" s="20" t="str">
        <x:v>file:///root/autodl-tmp/miniwob-plusplus/miniwob/html/miniwob/click-widget.html</x:v>
      </x:c>
      <x:c r="S175" s="20" t="str">
        <x:v>Click Widget Task</x:v>
      </x:c>
      <x:c r="T175" s="20" t="str">
        <x:v>RootWebArea 'Click Widget Task', focused [14] LabelText '', clickable [15] checkbox 'QTT', clickable, checked='false' StaticText 'QTT' [17] textbox '' value='GYhN' StaticText 'GYhN' [19] button 'VNjQ', focused [21] LabelText '', clickable [22] checkbox '7', clickable, checked='false' StaticText '7' [24] LabelText '', clickable [25] checkbox 'cACj', clickable, checked='false' StaticText 'cACj'</x:v>
      </x:c>
      <x:c r="U175" s="6" t="str">
        <x:v>0</x:v>
      </x:c>
      <x:c r="V175" s="6" t="str">
        <x:v>0</x:v>
      </x:c>
      <x:c r="W175" s="6" t="str">
        <x:v>0</x:v>
      </x:c>
      <x:c r="X175" s="6" t="str">
        <x:v>1</x:v>
      </x:c>
      <x:c r="Y175" s="6" t="str">
        <x:v>0</x:v>
      </x:c>
      <x:c r="Z175" s="6" t="str">
        <x:v>1</x:v>
      </x:c>
      <x:c r="AA175" s="6" t="str">
        <x:v>0.0</x:v>
      </x:c>
      <x:c r="AB175" s="20" t="str">
        <x:v>Codex证据复核v1：原始记录唯一匹配、环境实测、反事实配对ID完整、终止且非成功、奖励非正、队列标签与结果派生规则一致；非人工签字。</x:v>
      </x:c>
    </x:row>
    <x:row r="176" ht="46" customHeight="1">
      <x:c r="A176" s="6" t="str">
        <x:v>1</x:v>
      </x:c>
      <x:c r="B176" s="6" t="str">
        <x:v>c84f257a532459e9df1d</x:v>
      </x:c>
      <x:c r="C176" s="6" t="str">
        <x:v>evidence_approved</x:v>
      </x:c>
      <x:c r="D176" s="6" t="str">
        <x:v>codex-evidence-review-v1</x:v>
      </x:c>
      <x:c r="E176" s="22" t="n">
        <x:v>46244.40206471065</x:v>
      </x:c>
      <x:c r="F176" s="6" t="str">
        <x:v>20</x:v>
      </x:c>
      <x:c r="G176" s="20" t="str">
        <x:v>observed_counterfactual;severe_failure;terminal</x:v>
      </x:c>
      <x:c r="H176" s="20" t="str">
        <x:v>browsergym/miniwob.click-dialog-2</x:v>
      </x:c>
      <x:c r="I176" s="6" t="str">
        <x:v>browsergym/miniwob.click-dialog-2</x:v>
      </x:c>
      <x:c r="J176" s="6" t="str">
        <x:v>cf-click-dialog-2-seed1017-wrong_action_type</x:v>
      </x:c>
      <x:c r="K176" s="6" t="str">
        <x:v>0</x:v>
      </x:c>
      <x:c r="L176" s="20" t="str">
        <x:v>Click the button in the dialog box labeled "x".</x:v>
      </x:c>
      <x:c r="M176" s="20" t="str">
        <x:v>click("28", "left")</x:v>
      </x:c>
      <x:c r="N176" s="6" t="str">
        <x:v>0.0</x:v>
      </x:c>
      <x:c r="O176" s="20" t="str">
        <x:v>file:///root/autodl-tmp/miniwob-plusplus/miniwob/html/miniwob/click-dialog-2.html</x:v>
      </x:c>
      <x:c r="P176" s="20" t="str">
        <x:v>Click Dialog Task</x:v>
      </x:c>
      <x:c r="Q176" s="20" t="str">
        <x:v>RootWebArea 'Click Dialog Task', focused [17] dialog '', clickable, modal=False, describedby='dialog' StaticText '' [20] button 'Close', clickable [24] paragraph '' StaticText 'In. Diam. Nunc,. Eget mattis a, dui.' [27] button 'Cancel', clickable, focused [28] button 'OK', clickable</x:v>
      </x:c>
      <x:c r="R176" s="20" t="str">
        <x:v>file:///root/autodl-tmp/miniwob-plusplus/miniwob/html/miniwob/click-dialog-2.html</x:v>
      </x:c>
      <x:c r="S176" s="20" t="str">
        <x:v>Click Dialog Task</x:v>
      </x:c>
      <x:c r="T176" s="20" t="str">
        <x:v>RootWebArea 'Click Dialog Task', focused [17] dialog '', clickable, modal=False, describedby='dialog' StaticText '' [20] button 'Close', clickable [24] paragraph '' StaticText 'In. Diam. Nunc,. Eget mattis a, dui.' [27] button 'Cancel', clickable [28] button 'OK', clickable, focused</x:v>
      </x:c>
      <x:c r="U176" s="6" t="str">
        <x:v>0</x:v>
      </x:c>
      <x:c r="V176" s="6" t="str">
        <x:v>0</x:v>
      </x:c>
      <x:c r="W176" s="6" t="str">
        <x:v>0</x:v>
      </x:c>
      <x:c r="X176" s="6" t="str">
        <x:v>1</x:v>
      </x:c>
      <x:c r="Y176" s="6" t="str">
        <x:v>0</x:v>
      </x:c>
      <x:c r="Z176" s="6" t="str">
        <x:v>1</x:v>
      </x:c>
      <x:c r="AA176" s="6" t="str">
        <x:v>0.0</x:v>
      </x:c>
      <x:c r="AB176" s="20" t="str">
        <x:v>Codex证据复核v1：原始记录唯一匹配、环境实测、反事实配对ID完整、终止且非成功、奖励非正、队列标签与结果派生规则一致；非人工签字。</x:v>
      </x:c>
    </x:row>
    <x:row r="177" ht="46" customHeight="1">
      <x:c r="A177" s="6" t="str">
        <x:v>1</x:v>
      </x:c>
      <x:c r="B177" s="6" t="str">
        <x:v>42c874837a3b963f8654</x:v>
      </x:c>
      <x:c r="C177" s="6" t="str">
        <x:v>evidence_approved</x:v>
      </x:c>
      <x:c r="D177" s="6" t="str">
        <x:v>codex-evidence-review-v1</x:v>
      </x:c>
      <x:c r="E177" s="22" t="n">
        <x:v>46244.40206471065</x:v>
      </x:c>
      <x:c r="F177" s="6" t="str">
        <x:v>20</x:v>
      </x:c>
      <x:c r="G177" s="20" t="str">
        <x:v>observed_counterfactual;severe_failure;terminal</x:v>
      </x:c>
      <x:c r="H177" s="20" t="str">
        <x:v>browsergym/miniwob.click-collapsible</x:v>
      </x:c>
      <x:c r="I177" s="6" t="str">
        <x:v>browsergym/miniwob.click-collapsible</x:v>
      </x:c>
      <x:c r="J177" s="6" t="str">
        <x:v>cf-click-collapsible-seed1001-hard_wrong_target</x:v>
      </x:c>
      <x:c r="K177" s="6" t="str">
        <x:v>0</x:v>
      </x:c>
      <x:c r="L177" s="20" t="str">
        <x:v>Expand the section below and click submit.</x:v>
      </x:c>
      <x:c r="M177" s="20" t="str">
        <x:v>click("19", "left")</x:v>
      </x:c>
      <x:c r="N177" s="6" t="str">
        <x:v>0.0</x:v>
      </x:c>
      <x:c r="O177" s="20" t="str">
        <x:v>file:///root/autodl-tmp/miniwob-plusplus/miniwob/html/miniwob/click-collapsible.html</x:v>
      </x:c>
      <x:c r="P177" s="20" t="str">
        <x:v>Click Collapsible Task</x:v>
      </x:c>
      <x:c r="Q177" s="20" t="str">
        <x:v>RootWebArea 'Click Collapsible Task', focused [15] tablist '', multiselectable=False, orientation='horizontal' [16] tab 'Section #46', clickable, expanded=False, selected=False, controls='ui-id-2' [19] tab 'Submit', clickable, expanded=False, selected=False [22] button 'Submit', clickable</x:v>
      </x:c>
      <x:c r="R177" s="20" t="str">
        <x:v>file:///root/autodl-tmp/miniwob-plusplus/miniwob/html/miniwob/click-collapsible.html</x:v>
      </x:c>
      <x:c r="S177" s="20" t="str">
        <x:v>Click Collapsible Task</x:v>
      </x:c>
      <x:c r="T177" s="20" t="str">
        <x:v>RootWebArea 'Click Collapsible Task', focused [15] tablist '', multiselectable=False, orientation='horizontal' [16] tab 'Section #46', clickable, expanded=False, selected=False, controls='ui-id-2' [19] tab 'Submit', clickable, expanded=False, selected=False [22] button 'Submit', clickable, focused</x:v>
      </x:c>
      <x:c r="U177" s="6" t="str">
        <x:v>0</x:v>
      </x:c>
      <x:c r="V177" s="6" t="str">
        <x:v>0</x:v>
      </x:c>
      <x:c r="W177" s="6" t="str">
        <x:v>0</x:v>
      </x:c>
      <x:c r="X177" s="6" t="str">
        <x:v>1</x:v>
      </x:c>
      <x:c r="Y177" s="6" t="str">
        <x:v>0</x:v>
      </x:c>
      <x:c r="Z177" s="6" t="str">
        <x:v>1</x:v>
      </x:c>
      <x:c r="AA177" s="6" t="str">
        <x:v>0.0</x:v>
      </x:c>
      <x:c r="AB177" s="20" t="str">
        <x:v>Codex证据复核v1：原始记录唯一匹配、环境实测、反事实配对ID完整、终止且非成功、奖励非正、队列标签与结果派生规则一致；非人工签字。</x:v>
      </x:c>
    </x:row>
    <x:row r="178" ht="46" customHeight="1">
      <x:c r="A178" s="6" t="str">
        <x:v>1</x:v>
      </x:c>
      <x:c r="B178" s="6" t="str">
        <x:v>5903177a79f73ee45241</x:v>
      </x:c>
      <x:c r="C178" s="6" t="str">
        <x:v>evidence_approved</x:v>
      </x:c>
      <x:c r="D178" s="6" t="str">
        <x:v>codex-evidence-review-v1</x:v>
      </x:c>
      <x:c r="E178" s="22" t="n">
        <x:v>46244.40206471065</x:v>
      </x:c>
      <x:c r="F178" s="6" t="str">
        <x:v>20</x:v>
      </x:c>
      <x:c r="G178" s="20" t="str">
        <x:v>observed_counterfactual;severe_failure;terminal</x:v>
      </x:c>
      <x:c r="H178" s="20" t="str">
        <x:v>browsergym/miniwob.choose-list</x:v>
      </x:c>
      <x:c r="I178" s="6" t="str">
        <x:v>browsergym/miniwob.choose-list</x:v>
      </x:c>
      <x:c r="J178" s="6" t="str">
        <x:v>cf-choose-list-seed1033-hard_wrong_target</x:v>
      </x:c>
      <x:c r="K178" s="6" t="str">
        <x:v>0</x:v>
      </x:c>
      <x:c r="L178" s="20" t="str">
        <x:v>Select Iran from the list and click Submit.</x:v>
      </x:c>
      <x:c r="M178" s="20" t="str">
        <x:v>click("23", "left")</x:v>
      </x:c>
      <x:c r="N178" s="6" t="str">
        <x:v>0.0</x:v>
      </x:c>
      <x:c r="O178" s="20" t="str">
        <x:v>file:///root/autodl-tmp/miniwob-plusplus/miniwob/html/miniwob/choose-list.html</x:v>
      </x:c>
      <x:c r="P178" s="20" t="str">
        <x:v>Choose List Task</x:v>
      </x:c>
      <x:c r="Q178" s="20" t="str">
        <x:v>RootWebArea 'Choose List Task', focused [13] combobox '' value='Kiribati', hasPopup='menu', expanded=False [23] button 'Submit', clickable</x:v>
      </x:c>
      <x:c r="R178" s="20" t="str">
        <x:v>file:///root/autodl-tmp/miniwob-plusplus/miniwob/html/miniwob/choose-list.html</x:v>
      </x:c>
      <x:c r="S178" s="20" t="str">
        <x:v>Choose List Task</x:v>
      </x:c>
      <x:c r="T178" s="20" t="str">
        <x:v>RootWebArea 'Choose List Task', focused [13] combobox '' value='Kiribati', hasPopup='menu', expanded=False [23] button 'Submit', clickable, focused</x:v>
      </x:c>
      <x:c r="U178" s="6" t="str">
        <x:v>0</x:v>
      </x:c>
      <x:c r="V178" s="6" t="str">
        <x:v>0</x:v>
      </x:c>
      <x:c r="W178" s="6" t="str">
        <x:v>0</x:v>
      </x:c>
      <x:c r="X178" s="6" t="str">
        <x:v>1</x:v>
      </x:c>
      <x:c r="Y178" s="6" t="str">
        <x:v>0</x:v>
      </x:c>
      <x:c r="Z178" s="6" t="str">
        <x:v>1</x:v>
      </x:c>
      <x:c r="AA178" s="6" t="str">
        <x:v>0.0</x:v>
      </x:c>
      <x:c r="AB178" s="20" t="str">
        <x:v>Codex证据复核v1：原始记录唯一匹配、环境实测、反事实配对ID完整、终止且非成功、奖励非正、队列标签与结果派生规则一致；非人工签字。</x:v>
      </x:c>
    </x:row>
    <x:row r="179" ht="46" customHeight="1">
      <x:c r="A179" s="6" t="str">
        <x:v>1</x:v>
      </x:c>
      <x:c r="B179" s="6" t="str">
        <x:v>de94ed9064eddc22502c</x:v>
      </x:c>
      <x:c r="C179" s="6" t="str">
        <x:v>evidence_approved</x:v>
      </x:c>
      <x:c r="D179" s="6" t="str">
        <x:v>codex-evidence-review-v1</x:v>
      </x:c>
      <x:c r="E179" s="22" t="n">
        <x:v>46244.40206471065</x:v>
      </x:c>
      <x:c r="F179" s="6" t="str">
        <x:v>20</x:v>
      </x:c>
      <x:c r="G179" s="20" t="str">
        <x:v>observed_counterfactual;severe_failure;terminal</x:v>
      </x:c>
      <x:c r="H179" s="20" t="str">
        <x:v>browsergym/miniwob.click-dialog-2</x:v>
      </x:c>
      <x:c r="I179" s="6" t="str">
        <x:v>browsergym/miniwob.click-dialog-2</x:v>
      </x:c>
      <x:c r="J179" s="6" t="str">
        <x:v>cf-click-dialog-2-seed1033-hard_wrong_target</x:v>
      </x:c>
      <x:c r="K179" s="6" t="str">
        <x:v>0</x:v>
      </x:c>
      <x:c r="L179" s="20" t="str">
        <x:v>Click the button in the dialog box labeled "OK".</x:v>
      </x:c>
      <x:c r="M179" s="20" t="str">
        <x:v>click("20", "left")</x:v>
      </x:c>
      <x:c r="N179" s="6" t="str">
        <x:v>0.0</x:v>
      </x:c>
      <x:c r="O179" s="20" t="str">
        <x:v>file:///root/autodl-tmp/miniwob-plusplus/miniwob/html/miniwob/click-dialog-2.html</x:v>
      </x:c>
      <x:c r="P179" s="20" t="str">
        <x:v>Click Dialog Task</x:v>
      </x:c>
      <x:c r="Q179" s="20" t="str">
        <x:v>RootWebArea 'Click Dialog Task', focused [17] dialog '', clickable, modal=False, describedby='dialog' StaticText '' [20] button 'Close', clickable [24] paragraph '' StaticText 'Proin varius faucibus. Quisque risus donec pulvinar.' [27] button 'Cancel', clickable, focused [28] button 'OK', clickable</x:v>
      </x:c>
      <x:c r="R179" s="20" t="str">
        <x:v>file:///root/autodl-tmp/miniwob-plusplus/miniwob/html/miniwob/click-dialog-2.html</x:v>
      </x:c>
      <x:c r="S179" s="20" t="str">
        <x:v>Click Dialog Task</x:v>
      </x:c>
      <x:c r="T179" s="20" t="str">
        <x:v>RootWebArea 'Click Dialog Task', focused</x:v>
      </x:c>
      <x:c r="U179" s="6" t="str">
        <x:v>0</x:v>
      </x:c>
      <x:c r="V179" s="6" t="str">
        <x:v>0</x:v>
      </x:c>
      <x:c r="W179" s="6" t="str">
        <x:v>0</x:v>
      </x:c>
      <x:c r="X179" s="6" t="str">
        <x:v>1</x:v>
      </x:c>
      <x:c r="Y179" s="6" t="str">
        <x:v>0</x:v>
      </x:c>
      <x:c r="Z179" s="6" t="str">
        <x:v>1</x:v>
      </x:c>
      <x:c r="AA179" s="6" t="str">
        <x:v>0.0</x:v>
      </x:c>
      <x:c r="AB179" s="20" t="str">
        <x:v>Codex证据复核v1：原始记录唯一匹配、环境实测、反事实配对ID完整、终止且非成功、奖励非正、队列标签与结果派生规则一致；非人工签字。</x:v>
      </x:c>
    </x:row>
    <x:row r="180" ht="46" customHeight="1">
      <x:c r="A180" s="6" t="str">
        <x:v>1</x:v>
      </x:c>
      <x:c r="B180" s="6" t="str">
        <x:v>b891a185fdb06501647a</x:v>
      </x:c>
      <x:c r="C180" s="6" t="str">
        <x:v>evidence_approved</x:v>
      </x:c>
      <x:c r="D180" s="6" t="str">
        <x:v>codex-evidence-review-v1</x:v>
      </x:c>
      <x:c r="E180" s="22" t="n">
        <x:v>46244.40206471065</x:v>
      </x:c>
      <x:c r="F180" s="6" t="str">
        <x:v>20</x:v>
      </x:c>
      <x:c r="G180" s="20" t="str">
        <x:v>observed_counterfactual;severe_failure;terminal</x:v>
      </x:c>
      <x:c r="H180" s="20" t="str">
        <x:v>browsergym/miniwob.scroll-text-2</x:v>
      </x:c>
      <x:c r="I180" s="6" t="str">
        <x:v>browsergym/miniwob.scroll-text-2</x:v>
      </x:c>
      <x:c r="J180" s="6" t="str">
        <x:v>cf-scroll-text-2-seed1017-hard_wrong_target</x:v>
      </x:c>
      <x:c r="K180" s="6" t="str">
        <x:v>0</x:v>
      </x:c>
      <x:c r="L180" s="20" t="str">
        <x:v>Scroll the textarea to the bottom of the text hit submit.</x:v>
      </x:c>
      <x:c r="M180" s="20" t="str">
        <x:v>click("14", "left")</x:v>
      </x:c>
      <x:c r="N180" s="6" t="str">
        <x:v>0.0</x:v>
      </x:c>
      <x:c r="O180" s="20" t="str">
        <x:v>file:///root/autodl-tmp/miniwob-plusplus/miniwob/html/miniwob/scroll-text-2.html</x:v>
      </x:c>
      <x:c r="P180" s="20" t="str">
        <x:v>Scroll Text Task</x:v>
      </x:c>
      <x:c r="Q180" s="20" t="str">
        <x:v>RootWebArea 'Scroll Text Task', focused [13] textbox '' value='In. Diam. Nunc,. Eget mattis a, dui,. Volutpat nunc suspendisse diam et cras eu aliquam et nulla vestibulum vestibulum. Nec. Sed. Eget scelerisque donec vitae hendrerit pretium, fringilla. Cras nisi sit aliquam ornare tellus quam nisl justo augue duis tincidunt ultrices mauris nunc quisque sed quis. Tristique viverra enim. Nisl ac accumsan aenean. Fringilla vitae, congue sed nulla nulla ut dignissim non amet, velit sed. Mauris volutpat. Blandit consequat a adipiscing faucibus. Risus feugiat cursus nulla porta ullamcorper sed sodales morbi neque, egestas nisl sed mauri… StaticText 'In. Diam. Nunc,. Eget mattis a, dui,. Volutpat nunc suspendisse diam et cras eu aliquam et nulla vestibulum vestibulum. Nec. Sed. Eget scelerisque donec vitae hendrerit pretium, fringilla. Cras nisi sit aliquam ornare tellus quam nisl justo augue d…</x:v>
      </x:c>
      <x:c r="R180" s="20" t="str">
        <x:v>file:///root/autodl-tmp/miniwob-plusplus/miniwob/html/miniwob/scroll-text-2.html</x:v>
      </x:c>
      <x:c r="S180" s="20" t="str">
        <x:v>Scroll Text Task</x:v>
      </x:c>
      <x:c r="T180" s="20" t="str">
        <x:v>RootWebArea 'Scroll Text Task', focused [13] textbox '' value='In. Diam. Nunc,. Eget mattis a, dui,. Volutpat nunc suspendisse diam et cras eu aliquam et nulla vestibulum vestibulum. Nec. Sed. Eget scelerisque donec vitae hendrerit pretium, fringilla. Cras nisi sit aliquam ornare tellus quam nisl justo augue duis tincidunt ultrices mauris nunc quisque sed quis. Tristique viverra enim. Nisl ac accumsan aenean. Fringilla vitae, congue sed nulla nulla ut dignissim non amet, velit sed. Mauris volutpat. Blandit consequat a adipiscing faucibus. Risus feugiat cursus nulla porta ullamcorper sed sodales morbi neque, egestas nisl sed mauri… StaticText 'In. Diam. Nunc,. Eget mattis a, dui,. Volutpat nunc suspendisse diam et cras eu aliquam et nulla vestibulum vestibulum. Nec. Sed. Eget scelerisque donec vitae hendrerit pretium, fringilla. Cras nisi sit aliquam ornare tellus quam nisl justo augue d…</x:v>
      </x:c>
      <x:c r="U180" s="6" t="str">
        <x:v>0</x:v>
      </x:c>
      <x:c r="V180" s="6" t="str">
        <x:v>0</x:v>
      </x:c>
      <x:c r="W180" s="6" t="str">
        <x:v>0</x:v>
      </x:c>
      <x:c r="X180" s="6" t="str">
        <x:v>1</x:v>
      </x:c>
      <x:c r="Y180" s="6" t="str">
        <x:v>0</x:v>
      </x:c>
      <x:c r="Z180" s="6" t="str">
        <x:v>1</x:v>
      </x:c>
      <x:c r="AA180" s="6" t="str">
        <x:v>0.0</x:v>
      </x:c>
      <x:c r="AB180" s="20" t="str">
        <x:v>Codex证据复核v1：原始记录唯一匹配、环境实测、反事实配对ID完整、终止且非成功、奖励非正、队列标签与结果派生规则一致；非人工签字。</x:v>
      </x:c>
    </x:row>
    <x:row r="181" ht="46" customHeight="1">
      <x:c r="A181" s="6" t="str">
        <x:v>1</x:v>
      </x:c>
      <x:c r="B181" s="6" t="str">
        <x:v>243787b6d3d59af5e64e</x:v>
      </x:c>
      <x:c r="C181" s="6" t="str">
        <x:v>evidence_approved</x:v>
      </x:c>
      <x:c r="D181" s="6" t="str">
        <x:v>codex-evidence-review-v1</x:v>
      </x:c>
      <x:c r="E181" s="22" t="n">
        <x:v>46244.40206471065</x:v>
      </x:c>
      <x:c r="F181" s="6" t="str">
        <x:v>20</x:v>
      </x:c>
      <x:c r="G181" s="20" t="str">
        <x:v>observed_counterfactual;severe_failure;terminal</x:v>
      </x:c>
      <x:c r="H181" s="20" t="str">
        <x:v>browsergym/miniwob.choose-list</x:v>
      </x:c>
      <x:c r="I181" s="6" t="str">
        <x:v>browsergym/miniwob.choose-list</x:v>
      </x:c>
      <x:c r="J181" s="6" t="str">
        <x:v>cf-choose-list-seed1020-missing_target</x:v>
      </x:c>
      <x:c r="K181" s="6" t="str">
        <x:v>0</x:v>
      </x:c>
      <x:c r="L181" s="20" t="str">
        <x:v>Select Tallulah from the list and click Submit.</x:v>
      </x:c>
      <x:c r="M181" s="20" t="str">
        <x:v>click("18", "left")</x:v>
      </x:c>
      <x:c r="N181" s="6" t="str">
        <x:v>0.0</x:v>
      </x:c>
      <x:c r="O181" s="20" t="str">
        <x:v>file:///root/autodl-tmp/miniwob-plusplus/miniwob/html/miniwob/choose-list.html</x:v>
      </x:c>
      <x:c r="P181" s="20" t="str">
        <x:v>Choose List Task</x:v>
      </x:c>
      <x:c r="Q181" s="20" t="str">
        <x:v>RootWebArea 'Choose List Task', focused [13] combobox '' value='Florette', hasPopup='menu', expanded=False [18] button 'Submit', clickable</x:v>
      </x:c>
      <x:c r="R181" s="20" t="str">
        <x:v>file:///root/autodl-tmp/miniwob-plusplus/miniwob/html/miniwob/choose-list.html</x:v>
      </x:c>
      <x:c r="S181" s="20" t="str">
        <x:v>Choose List Task</x:v>
      </x:c>
      <x:c r="T181" s="20" t="str">
        <x:v>RootWebArea 'Choose List Task', focused [13] combobox '' value='Florette', hasPopup='menu', expanded=False [18] button 'Submit', clickable, focused</x:v>
      </x:c>
      <x:c r="U181" s="6" t="str">
        <x:v>0</x:v>
      </x:c>
      <x:c r="V181" s="6" t="str">
        <x:v>0</x:v>
      </x:c>
      <x:c r="W181" s="6" t="str">
        <x:v>0</x:v>
      </x:c>
      <x:c r="X181" s="6" t="str">
        <x:v>1</x:v>
      </x:c>
      <x:c r="Y181" s="6" t="str">
        <x:v>0</x:v>
      </x:c>
      <x:c r="Z181" s="6" t="str">
        <x:v>1</x:v>
      </x:c>
      <x:c r="AA181" s="6" t="str">
        <x:v>0.0</x:v>
      </x:c>
      <x:c r="AB181" s="20" t="str">
        <x:v>Codex证据复核v1：原始记录唯一匹配、环境实测、反事实配对ID完整、终止且非成功、奖励非正、队列标签与结果派生规则一致；非人工签字。</x:v>
      </x:c>
    </x:row>
    <x:row r="182" ht="46" customHeight="1">
      <x:c r="A182" s="6" t="str">
        <x:v>1</x:v>
      </x:c>
      <x:c r="B182" s="6" t="str">
        <x:v>8251f4acb64d02be0d5e</x:v>
      </x:c>
      <x:c r="C182" s="6" t="str">
        <x:v>evidence_approved</x:v>
      </x:c>
      <x:c r="D182" s="6" t="str">
        <x:v>codex-evidence-review-v1</x:v>
      </x:c>
      <x:c r="E182" s="22" t="n">
        <x:v>46244.40206471065</x:v>
      </x:c>
      <x:c r="F182" s="6" t="str">
        <x:v>20</x:v>
      </x:c>
      <x:c r="G182" s="20" t="str">
        <x:v>observed_counterfactual;severe_failure;terminal</x:v>
      </x:c>
      <x:c r="H182" s="20" t="str">
        <x:v>browsergym/miniwob.click-menu</x:v>
      </x:c>
      <x:c r="I182" s="6" t="str">
        <x:v>browsergym/miniwob.click-menu</x:v>
      </x:c>
      <x:c r="J182" s="6" t="str">
        <x:v>cf-click-menu-seed1007-hard_wrong_target</x:v>
      </x:c>
      <x:c r="K182" s="6" t="str">
        <x:v>0</x:v>
      </x:c>
      <x:c r="L182" s="20" t="str">
        <x:v>Select Cicely</x:v>
      </x:c>
      <x:c r="M182" s="20" t="str">
        <x:v>click("31", "left")</x:v>
      </x:c>
      <x:c r="N182" s="6" t="str">
        <x:v>0.0</x:v>
      </x:c>
      <x:c r="O182" s="20" t="str">
        <x:v>file:///root/autodl-tmp/miniwob-plusplus/miniwob/html/miniwob/click-menu.html</x:v>
      </x:c>
      <x:c r="P182" s="20" t="str">
        <x:v>Click Menu Task</x:v>
      </x:c>
      <x:c r="Q182" s="20" t="str">
        <x:v>RootWebArea 'Click Menu Task', focused [17] menu '', clickable, orientation='vertical' image '' [19] menuitem 'Cicely' image '' [21] menuitem 'Bennie', hasPopup='menu' image '' [31] menuitem 'Roxana'</x:v>
      </x:c>
      <x:c r="R182" s="20" t="str">
        <x:v>file:///root/autodl-tmp/miniwob-plusplus/miniwob/html/miniwob/click-menu.html</x:v>
      </x:c>
      <x:c r="S182" s="20" t="str">
        <x:v>Click Menu Task</x:v>
      </x:c>
      <x:c r="T182" s="20" t="str">
        <x:v>RootWebArea 'Click Menu Task', focused [17] menu '', clickable, orientation='vertical' image '' [19] menuitem 'Cicely' image '' [21] menuitem 'Bennie', hasPopup='menu' image '' [31] menuitem 'Roxana'</x:v>
      </x:c>
      <x:c r="U182" s="6" t="str">
        <x:v>0</x:v>
      </x:c>
      <x:c r="V182" s="6" t="str">
        <x:v>0</x:v>
      </x:c>
      <x:c r="W182" s="6" t="str">
        <x:v>0</x:v>
      </x:c>
      <x:c r="X182" s="6" t="str">
        <x:v>1</x:v>
      </x:c>
      <x:c r="Y182" s="6" t="str">
        <x:v>0</x:v>
      </x:c>
      <x:c r="Z182" s="6" t="str">
        <x:v>1</x:v>
      </x:c>
      <x:c r="AA182" s="6" t="str">
        <x:v>0.0</x:v>
      </x:c>
      <x:c r="AB182" s="20" t="str">
        <x:v>Codex证据复核v1：原始记录唯一匹配、环境实测、反事实配对ID完整、终止且非成功、奖励非正、队列标签与结果派生规则一致；非人工签字。</x:v>
      </x:c>
    </x:row>
    <x:row r="183" ht="46" customHeight="1">
      <x:c r="A183" s="6" t="str">
        <x:v>1</x:v>
      </x:c>
      <x:c r="B183" s="6" t="str">
        <x:v>ff0c1c678e2ca354ab8a</x:v>
      </x:c>
      <x:c r="C183" s="6" t="str">
        <x:v>evidence_approved</x:v>
      </x:c>
      <x:c r="D183" s="6" t="str">
        <x:v>codex-evidence-review-v1</x:v>
      </x:c>
      <x:c r="E183" s="22" t="n">
        <x:v>46244.40206471065</x:v>
      </x:c>
      <x:c r="F183" s="6" t="str">
        <x:v>20</x:v>
      </x:c>
      <x:c r="G183" s="20" t="str">
        <x:v>observed_counterfactual;severe_failure;terminal</x:v>
      </x:c>
      <x:c r="H183" s="20" t="str">
        <x:v>browsergym/miniwob.choose-list</x:v>
      </x:c>
      <x:c r="I183" s="6" t="str">
        <x:v>browsergym/miniwob.choose-list</x:v>
      </x:c>
      <x:c r="J183" s="6" t="str">
        <x:v>cf-choose-list-seed1013-hard_wrong_target</x:v>
      </x:c>
      <x:c r="K183" s="6" t="str">
        <x:v>0</x:v>
      </x:c>
      <x:c r="L183" s="20" t="str">
        <x:v>Select Luxembourg from the list and click Submit.</x:v>
      </x:c>
      <x:c r="M183" s="20" t="str">
        <x:v>click("19", "left")</x:v>
      </x:c>
      <x:c r="N183" s="6" t="str">
        <x:v>0.0</x:v>
      </x:c>
      <x:c r="O183" s="20" t="str">
        <x:v>file:///root/autodl-tmp/miniwob-plusplus/miniwob/html/miniwob/choose-list.html</x:v>
      </x:c>
      <x:c r="P183" s="20" t="str">
        <x:v>Choose List Task</x:v>
      </x:c>
      <x:c r="Q183" s="20" t="str">
        <x:v>RootWebArea 'Choose List Task', focused [13] combobox '' value='Libya', hasPopup='menu', expanded=False [19] button 'Submit', clickable</x:v>
      </x:c>
      <x:c r="R183" s="20" t="str">
        <x:v>file:///root/autodl-tmp/miniwob-plusplus/miniwob/html/miniwob/choose-list.html</x:v>
      </x:c>
      <x:c r="S183" s="20" t="str">
        <x:v>Choose List Task</x:v>
      </x:c>
      <x:c r="T183" s="20" t="str">
        <x:v>RootWebArea 'Choose List Task', focused [13] combobox '' value='Libya', hasPopup='menu', expanded=False [19] button 'Submit', clickable, focused</x:v>
      </x:c>
      <x:c r="U183" s="6" t="str">
        <x:v>0</x:v>
      </x:c>
      <x:c r="V183" s="6" t="str">
        <x:v>0</x:v>
      </x:c>
      <x:c r="W183" s="6" t="str">
        <x:v>0</x:v>
      </x:c>
      <x:c r="X183" s="6" t="str">
        <x:v>1</x:v>
      </x:c>
      <x:c r="Y183" s="6" t="str">
        <x:v>0</x:v>
      </x:c>
      <x:c r="Z183" s="6" t="str">
        <x:v>1</x:v>
      </x:c>
      <x:c r="AA183" s="6" t="str">
        <x:v>0.0</x:v>
      </x:c>
      <x:c r="AB183" s="20" t="str">
        <x:v>Codex证据复核v1：原始记录唯一匹配、环境实测、反事实配对ID完整、终止且非成功、奖励非正、队列标签与结果派生规则一致；非人工签字。</x:v>
      </x:c>
    </x:row>
    <x:row r="184" ht="46" customHeight="1">
      <x:c r="A184" s="6" t="str">
        <x:v>1</x:v>
      </x:c>
      <x:c r="B184" s="6" t="str">
        <x:v>8bf282bd73f246da1fec</x:v>
      </x:c>
      <x:c r="C184" s="6" t="str">
        <x:v>evidence_approved</x:v>
      </x:c>
      <x:c r="D184" s="6" t="str">
        <x:v>codex-evidence-review-v1</x:v>
      </x:c>
      <x:c r="E184" s="22" t="n">
        <x:v>46244.40206471065</x:v>
      </x:c>
      <x:c r="F184" s="6" t="str">
        <x:v>20</x:v>
      </x:c>
      <x:c r="G184" s="20" t="str">
        <x:v>observed_counterfactual;severe_failure;terminal</x:v>
      </x:c>
      <x:c r="H184" s="20" t="str">
        <x:v>browsergym/miniwob.click-widget</x:v>
      </x:c>
      <x:c r="I184" s="6" t="str">
        <x:v>browsergym/miniwob.click-widget</x:v>
      </x:c>
      <x:c r="J184" s="6" t="str">
        <x:v>cf-click-widget-seed1022-missing_target</x:v>
      </x:c>
      <x:c r="K184" s="6" t="str">
        <x:v>0</x:v>
      </x:c>
      <x:c r="L184" s="20" t="str">
        <x:v>Click on a "text" widget.</x:v>
      </x:c>
      <x:c r="M184" s="20" t="str">
        <x:v>click("19", "left")</x:v>
      </x:c>
      <x:c r="N184" s="6" t="str">
        <x:v>0.0</x:v>
      </x:c>
      <x:c r="O184" s="20" t="str">
        <x:v>file:///root/autodl-tmp/miniwob-plusplus/miniwob/html/miniwob/click-widget.html</x:v>
      </x:c>
      <x:c r="P184" s="20" t="str">
        <x:v>Click Widget Task</x:v>
      </x:c>
      <x:c r="Q184" s="20" t="str">
        <x:v>RootWebArea 'Click Widget Task', focused [14] textbox '' value='AtV', clickable StaticText 'AtV' [16] LabelText '', clickable [17] radio 'HgYLd', clickable, checked='false' StaticText 'HgYLd' [19] button 'Q' [21] LabelText '', clickable [22] checkbox 'eag', clickable, checked='false' StaticText 'eag' [24] textbox '' value='G3v' StaticText 'G3v'</x:v>
      </x:c>
      <x:c r="R184" s="20" t="str">
        <x:v>file:///root/autodl-tmp/miniwob-plusplus/miniwob/html/miniwob/click-widget.html</x:v>
      </x:c>
      <x:c r="S184" s="20" t="str">
        <x:v>Click Widget Task</x:v>
      </x:c>
      <x:c r="T184" s="20" t="str">
        <x:v>RootWebArea 'Click Widget Task', focused [14] textbox '' value='AtV', clickable StaticText 'AtV' [16] LabelText '', clickable [17] radio 'HgYLd', clickable, checked='false' StaticText 'HgYLd' [19] button 'Q', focused [21] LabelText '', clickable [22] checkbox 'eag', clickable, checked='false' StaticText 'eag' [24] textbox '' value='G3v' StaticText 'G3v'</x:v>
      </x:c>
      <x:c r="U184" s="6" t="str">
        <x:v>0</x:v>
      </x:c>
      <x:c r="V184" s="6" t="str">
        <x:v>0</x:v>
      </x:c>
      <x:c r="W184" s="6" t="str">
        <x:v>0</x:v>
      </x:c>
      <x:c r="X184" s="6" t="str">
        <x:v>1</x:v>
      </x:c>
      <x:c r="Y184" s="6" t="str">
        <x:v>0</x:v>
      </x:c>
      <x:c r="Z184" s="6" t="str">
        <x:v>1</x:v>
      </x:c>
      <x:c r="AA184" s="6" t="str">
        <x:v>0.0</x:v>
      </x:c>
      <x:c r="AB184" s="20" t="str">
        <x:v>Codex证据复核v1：原始记录唯一匹配、环境实测、反事实配对ID完整、终止且非成功、奖励非正、队列标签与结果派生规则一致；非人工签字。</x:v>
      </x:c>
    </x:row>
    <x:row r="185" ht="46" customHeight="1">
      <x:c r="A185" s="6" t="str">
        <x:v>1</x:v>
      </x:c>
      <x:c r="B185" s="6" t="str">
        <x:v>af4474f21c2061a6b402</x:v>
      </x:c>
      <x:c r="C185" s="6" t="str">
        <x:v>evidence_approved</x:v>
      </x:c>
      <x:c r="D185" s="6" t="str">
        <x:v>codex-evidence-review-v1</x:v>
      </x:c>
      <x:c r="E185" s="22" t="n">
        <x:v>46244.40206471065</x:v>
      </x:c>
      <x:c r="F185" s="6" t="str">
        <x:v>20</x:v>
      </x:c>
      <x:c r="G185" s="20" t="str">
        <x:v>observed_counterfactual;severe_failure;terminal</x:v>
      </x:c>
      <x:c r="H185" s="20" t="str">
        <x:v>browsergym/miniwob.enter-text</x:v>
      </x:c>
      <x:c r="I185" s="6" t="str">
        <x:v>browsergym/miniwob.enter-text</x:v>
      </x:c>
      <x:c r="J185" s="6" t="str">
        <x:v>cf-enter-text-seed1033-hard_wrong_target</x:v>
      </x:c>
      <x:c r="K185" s="6" t="str">
        <x:v>0</x:v>
      </x:c>
      <x:c r="L185" s="20" t="str">
        <x:v>Enter "Dannie" into the text field and press Submit.</x:v>
      </x:c>
      <x:c r="M185" s="20" t="str">
        <x:v>click("15", "left")</x:v>
      </x:c>
      <x:c r="N185" s="6" t="str">
        <x:v>0.0</x:v>
      </x:c>
      <x:c r="O185" s="20" t="str">
        <x:v>file:///root/autodl-tmp/miniwob-plusplus/miniwob/html/miniwob/enter-text.html</x:v>
      </x:c>
      <x:c r="P185" s="20" t="str">
        <x:v>Enter Text Task</x:v>
      </x:c>
      <x:c r="Q185" s="20" t="str">
        <x:v>RootWebArea 'Enter Text Task', focused [14] textbox '', clickable [15] button 'Submit', clickable</x:v>
      </x:c>
      <x:c r="R185" s="20" t="str">
        <x:v>file:///root/autodl-tmp/miniwob-plusplus/miniwob/html/miniwob/enter-text.html</x:v>
      </x:c>
      <x:c r="S185" s="20" t="str">
        <x:v>Enter Text Task</x:v>
      </x:c>
      <x:c r="T185" s="20" t="str">
        <x:v>RootWebArea 'Enter Text Task', focused [14] textbox '', clickable [15] button 'Submit', clickable, focused</x:v>
      </x:c>
      <x:c r="U185" s="6" t="str">
        <x:v>0</x:v>
      </x:c>
      <x:c r="V185" s="6" t="str">
        <x:v>0</x:v>
      </x:c>
      <x:c r="W185" s="6" t="str">
        <x:v>0</x:v>
      </x:c>
      <x:c r="X185" s="6" t="str">
        <x:v>1</x:v>
      </x:c>
      <x:c r="Y185" s="6" t="str">
        <x:v>0</x:v>
      </x:c>
      <x:c r="Z185" s="6" t="str">
        <x:v>1</x:v>
      </x:c>
      <x:c r="AA185" s="6" t="str">
        <x:v>0.0</x:v>
      </x:c>
      <x:c r="AB185" s="20" t="str">
        <x:v>Codex证据复核v1：原始记录唯一匹配、环境实测、反事实配对ID完整、终止且非成功、奖励非正、队列标签与结果派生规则一致；非人工签字。</x:v>
      </x:c>
    </x:row>
    <x:row r="186" ht="46" customHeight="1">
      <x:c r="A186" s="6" t="str">
        <x:v>1</x:v>
      </x:c>
      <x:c r="B186" s="6" t="str">
        <x:v>cdea7913faba43ddbba8</x:v>
      </x:c>
      <x:c r="C186" s="6" t="str">
        <x:v>evidence_approved</x:v>
      </x:c>
      <x:c r="D186" s="6" t="str">
        <x:v>codex-evidence-review-v1</x:v>
      </x:c>
      <x:c r="E186" s="22" t="n">
        <x:v>46244.40206471065</x:v>
      </x:c>
      <x:c r="F186" s="6" t="str">
        <x:v>20</x:v>
      </x:c>
      <x:c r="G186" s="20" t="str">
        <x:v>observed_counterfactual;severe_failure;terminal</x:v>
      </x:c>
      <x:c r="H186" s="20" t="str">
        <x:v>browsergym/miniwob.login-user</x:v>
      </x:c>
      <x:c r="I186" s="6" t="str">
        <x:v>browsergym/miniwob.login-user</x:v>
      </x:c>
      <x:c r="J186" s="6" t="str">
        <x:v>cf-login-user-seed1033-hard_wrong_target</x:v>
      </x:c>
      <x:c r="K186" s="6" t="str">
        <x:v>0</x:v>
      </x:c>
      <x:c r="L186" s="20" t="str">
        <x:v>Enter the username "dannie" and the password "b4" into the text fields and press login.</x:v>
      </x:c>
      <x:c r="M186" s="20" t="str">
        <x:v>click("20", "left")</x:v>
      </x:c>
      <x:c r="N186" s="6" t="str">
        <x:v>0.0</x:v>
      </x:c>
      <x:c r="O186" s="20" t="str">
        <x:v>file:///root/autodl-tmp/miniwob-plusplus/miniwob/html/miniwob/login-user.html</x:v>
      </x:c>
      <x:c r="P186" s="20" t="str">
        <x:v>Login User Task</x:v>
      </x:c>
      <x:c r="Q186" s="20" t="str">
        <x:v>RootWebArea 'Login User Task', focused [14] paragraph '' [15] LabelText '' StaticText 'Username' [16] textbox '', clickable [17] paragraph '' [18] LabelText '' StaticText 'Password' [19] textbox '', clickable [20] button 'Login', clickable</x:v>
      </x:c>
      <x:c r="R186" s="20" t="str">
        <x:v>file:///root/autodl-tmp/miniwob-plusplus/miniwob/html/miniwob/login-user.html</x:v>
      </x:c>
      <x:c r="S186" s="20" t="str">
        <x:v>Login User Task</x:v>
      </x:c>
      <x:c r="T186" s="20" t="str">
        <x:v>RootWebArea 'Login User Task', focused [14] paragraph '' [15] LabelText '' StaticText 'Username' [16] textbox '', clickable [17] paragraph '' [18] LabelText '' StaticText 'Password' [19] textbox '', clickable [20] button 'Login', clickable, focused</x:v>
      </x:c>
      <x:c r="U186" s="6" t="str">
        <x:v>0</x:v>
      </x:c>
      <x:c r="V186" s="6" t="str">
        <x:v>0</x:v>
      </x:c>
      <x:c r="W186" s="6" t="str">
        <x:v>0</x:v>
      </x:c>
      <x:c r="X186" s="6" t="str">
        <x:v>1</x:v>
      </x:c>
      <x:c r="Y186" s="6" t="str">
        <x:v>0</x:v>
      </x:c>
      <x:c r="Z186" s="6" t="str">
        <x:v>1</x:v>
      </x:c>
      <x:c r="AA186" s="6" t="str">
        <x:v>0.0</x:v>
      </x:c>
      <x:c r="AB186" s="20" t="str">
        <x:v>Codex证据复核v1：原始记录唯一匹配、环境实测、反事实配对ID完整、终止且非成功、奖励非正、队列标签与结果派生规则一致；非人工签字。</x:v>
      </x:c>
    </x:row>
    <x:row r="187" ht="46" customHeight="1">
      <x:c r="A187" s="6" t="str">
        <x:v>1</x:v>
      </x:c>
      <x:c r="B187" s="6" t="str">
        <x:v>7786d1eabeee28554668</x:v>
      </x:c>
      <x:c r="C187" s="6" t="str">
        <x:v>evidence_approved</x:v>
      </x:c>
      <x:c r="D187" s="6" t="str">
        <x:v>codex-evidence-review-v1</x:v>
      </x:c>
      <x:c r="E187" s="22" t="n">
        <x:v>46244.40206471065</x:v>
      </x:c>
      <x:c r="F187" s="6" t="str">
        <x:v>20</x:v>
      </x:c>
      <x:c r="G187" s="20" t="str">
        <x:v>observed_counterfactual;severe_failure;terminal</x:v>
      </x:c>
      <x:c r="H187" s="20" t="str">
        <x:v>browsergym/miniwob.login-user</x:v>
      </x:c>
      <x:c r="I187" s="6" t="str">
        <x:v>browsergym/miniwob.login-user</x:v>
      </x:c>
      <x:c r="J187" s="6" t="str">
        <x:v>cf-login-user-seed1037-hard_wrong_target</x:v>
      </x:c>
      <x:c r="K187" s="6" t="str">
        <x:v>0</x:v>
      </x:c>
      <x:c r="L187" s="20" t="str">
        <x:v>Enter the username "kanesha" and the password "vLi" into the text fields and press login.</x:v>
      </x:c>
      <x:c r="M187" s="20" t="str">
        <x:v>click("20", "left")</x:v>
      </x:c>
      <x:c r="N187" s="6" t="str">
        <x:v>0.0</x:v>
      </x:c>
      <x:c r="O187" s="20" t="str">
        <x:v>file:///root/autodl-tmp/miniwob-plusplus/miniwob/html/miniwob/login-user.html</x:v>
      </x:c>
      <x:c r="P187" s="20" t="str">
        <x:v>Login User Task</x:v>
      </x:c>
      <x:c r="Q187" s="20" t="str">
        <x:v>RootWebArea 'Login User Task', focused [14] paragraph '' [15] LabelText '' StaticText 'Username' [16] textbox '', clickable [17] paragraph '' [18] LabelText '' StaticText 'Password' [19] textbox '', clickable [20] button 'Login', clickable</x:v>
      </x:c>
      <x:c r="R187" s="20" t="str">
        <x:v>file:///root/autodl-tmp/miniwob-plusplus/miniwob/html/miniwob/login-user.html</x:v>
      </x:c>
      <x:c r="S187" s="20" t="str">
        <x:v>Login User Task</x:v>
      </x:c>
      <x:c r="T187" s="20" t="str">
        <x:v>RootWebArea 'Login User Task', focused [14] paragraph '' [15] LabelText '' StaticText 'Username' [16] textbox '', clickable [17] paragraph '' [18] LabelText '' StaticText 'Password' [19] textbox '', clickable [20] button 'Login', clickable, focused</x:v>
      </x:c>
      <x:c r="U187" s="6" t="str">
        <x:v>0</x:v>
      </x:c>
      <x:c r="V187" s="6" t="str">
        <x:v>0</x:v>
      </x:c>
      <x:c r="W187" s="6" t="str">
        <x:v>0</x:v>
      </x:c>
      <x:c r="X187" s="6" t="str">
        <x:v>1</x:v>
      </x:c>
      <x:c r="Y187" s="6" t="str">
        <x:v>0</x:v>
      </x:c>
      <x:c r="Z187" s="6" t="str">
        <x:v>1</x:v>
      </x:c>
      <x:c r="AA187" s="6" t="str">
        <x:v>0.0</x:v>
      </x:c>
      <x:c r="AB187" s="20" t="str">
        <x:v>Codex证据复核v1：原始记录唯一匹配、环境实测、反事实配对ID完整、终止且非成功、奖励非正、队列标签与结果派生规则一致；非人工签字。</x:v>
      </x:c>
    </x:row>
    <x:row r="188" ht="46" customHeight="1">
      <x:c r="A188" s="6" t="str">
        <x:v>1</x:v>
      </x:c>
      <x:c r="B188" s="6" t="str">
        <x:v>78bc1a8f6595c75f33a5</x:v>
      </x:c>
      <x:c r="C188" s="6" t="str">
        <x:v>evidence_approved</x:v>
      </x:c>
      <x:c r="D188" s="6" t="str">
        <x:v>codex-evidence-review-v1</x:v>
      </x:c>
      <x:c r="E188" s="22" t="n">
        <x:v>46244.40206471065</x:v>
      </x:c>
      <x:c r="F188" s="6" t="str">
        <x:v>20</x:v>
      </x:c>
      <x:c r="G188" s="20" t="str">
        <x:v>observed_counterfactual;severe_failure;terminal</x:v>
      </x:c>
      <x:c r="H188" s="20" t="str">
        <x:v>browsergym/miniwob.click-collapsible</x:v>
      </x:c>
      <x:c r="I188" s="6" t="str">
        <x:v>browsergym/miniwob.click-collapsible</x:v>
      </x:c>
      <x:c r="J188" s="6" t="str">
        <x:v>cf-click-collapsible-seed1034-hard_wrong_target</x:v>
      </x:c>
      <x:c r="K188" s="6" t="str">
        <x:v>0</x:v>
      </x:c>
      <x:c r="L188" s="20" t="str">
        <x:v>Expand the section below and click submit.</x:v>
      </x:c>
      <x:c r="M188" s="20" t="str">
        <x:v>click("22", "left")</x:v>
      </x:c>
      <x:c r="N188" s="6" t="str">
        <x:v>0.0</x:v>
      </x:c>
      <x:c r="O188" s="20" t="str">
        <x:v>file:///root/autodl-tmp/miniwob-plusplus/miniwob/html/miniwob/click-collapsible.html</x:v>
      </x:c>
      <x:c r="P188" s="20" t="str">
        <x:v>Click Collapsible Task</x:v>
      </x:c>
      <x:c r="Q188" s="20" t="str">
        <x:v>RootWebArea 'Click Collapsible Task', focused [15] tablist '', multiselectable=False, orientation='horizontal' [16] tab 'Section #12', clickable, expanded=False, selected=False, controls='ui-id-2' [19] tab 'Submit', clickable, expanded=False, selected=False [22] button 'Submit', clickable</x:v>
      </x:c>
      <x:c r="R188" s="20" t="str">
        <x:v>file:///root/autodl-tmp/miniwob-plusplus/miniwob/html/miniwob/click-collapsible.html</x:v>
      </x:c>
      <x:c r="S188" s="20" t="str">
        <x:v>Click Collapsible Task</x:v>
      </x:c>
      <x:c r="T188" s="20" t="str">
        <x:v>RootWebArea 'Click Collapsible Task', focused [15] tablist '', multiselectable=False, orientation='horizontal' [16] tab 'Section #12', clickable, expanded=False, selected=False, controls='ui-id-2' [19] tab 'Submit', clickable, expanded=False, selected=False [22] button 'Submit', clickable, focused</x:v>
      </x:c>
      <x:c r="U188" s="6" t="str">
        <x:v>0</x:v>
      </x:c>
      <x:c r="V188" s="6" t="str">
        <x:v>0</x:v>
      </x:c>
      <x:c r="W188" s="6" t="str">
        <x:v>0</x:v>
      </x:c>
      <x:c r="X188" s="6" t="str">
        <x:v>1</x:v>
      </x:c>
      <x:c r="Y188" s="6" t="str">
        <x:v>0</x:v>
      </x:c>
      <x:c r="Z188" s="6" t="str">
        <x:v>1</x:v>
      </x:c>
      <x:c r="AA188" s="6" t="str">
        <x:v>0.0</x:v>
      </x:c>
      <x:c r="AB188" s="20" t="str">
        <x:v>Codex证据复核v1：原始记录唯一匹配、环境实测、反事实配对ID完整、终止且非成功、奖励非正、队列标签与结果派生规则一致；非人工签字。</x:v>
      </x:c>
    </x:row>
    <x:row r="189" ht="46" customHeight="1">
      <x:c r="A189" s="6" t="str">
        <x:v>1</x:v>
      </x:c>
      <x:c r="B189" s="6" t="str">
        <x:v>8cc18bbe711543a29ee7</x:v>
      </x:c>
      <x:c r="C189" s="6" t="str">
        <x:v>evidence_approved</x:v>
      </x:c>
      <x:c r="D189" s="6" t="str">
        <x:v>codex-evidence-review-v1</x:v>
      </x:c>
      <x:c r="E189" s="22" t="n">
        <x:v>46244.40206471065</x:v>
      </x:c>
      <x:c r="F189" s="6" t="str">
        <x:v>20</x:v>
      </x:c>
      <x:c r="G189" s="20" t="str">
        <x:v>observed_counterfactual;severe_failure;terminal</x:v>
      </x:c>
      <x:c r="H189" s="20" t="str">
        <x:v>browsergym/miniwob.click-test-2</x:v>
      </x:c>
      <x:c r="I189" s="6" t="str">
        <x:v>browsergym/miniwob.click-test-2</x:v>
      </x:c>
      <x:c r="J189" s="6" t="str">
        <x:v>cf-click-test-2-seed1038-hard_wrong_target</x:v>
      </x:c>
      <x:c r="K189" s="6" t="str">
        <x:v>0</x:v>
      </x:c>
      <x:c r="L189" s="20" t="str">
        <x:v>Click button ONE.</x:v>
      </x:c>
      <x:c r="M189" s="20" t="str">
        <x:v>click("14", "left")</x:v>
      </x:c>
      <x:c r="N189" s="6" t="str">
        <x:v>0.0</x:v>
      </x:c>
      <x:c r="O189" s="20" t="str">
        <x:v>file:///root/autodl-tmp/miniwob-plusplus/miniwob/html/miniwob/click-test-2.html</x:v>
      </x:c>
      <x:c r="P189" s="20" t="str">
        <x:v>Click Test Task</x:v>
      </x:c>
      <x:c r="Q189" s="20" t="str">
        <x:v>RootWebArea 'Click Test Task', focused [13] button 'ONE', clickable [14] button 'TWO', clickable</x:v>
      </x:c>
      <x:c r="R189" s="20" t="str">
        <x:v>file:///root/autodl-tmp/miniwob-plusplus/miniwob/html/miniwob/click-test-2.html</x:v>
      </x:c>
      <x:c r="S189" s="20" t="str">
        <x:v>Click Test Task</x:v>
      </x:c>
      <x:c r="T189" s="20" t="str">
        <x:v>RootWebArea 'Click Test Task', focused [13] button 'ONE', clickable [14] button 'TWO', clickable, focused</x:v>
      </x:c>
      <x:c r="U189" s="6" t="str">
        <x:v>0</x:v>
      </x:c>
      <x:c r="V189" s="6" t="str">
        <x:v>0</x:v>
      </x:c>
      <x:c r="W189" s="6" t="str">
        <x:v>0</x:v>
      </x:c>
      <x:c r="X189" s="6" t="str">
        <x:v>1</x:v>
      </x:c>
      <x:c r="Y189" s="6" t="str">
        <x:v>0</x:v>
      </x:c>
      <x:c r="Z189" s="6" t="str">
        <x:v>1</x:v>
      </x:c>
      <x:c r="AA189" s="6" t="str">
        <x:v>0.0</x:v>
      </x:c>
      <x:c r="AB189" s="20" t="str">
        <x:v>Codex证据复核v1：原始记录唯一匹配、环境实测、反事实配对ID完整、终止且非成功、奖励非正、队列标签与结果派生规则一致；非人工签字。</x:v>
      </x:c>
    </x:row>
    <x:row r="190" ht="46" customHeight="1">
      <x:c r="A190" s="6" t="str">
        <x:v>1</x:v>
      </x:c>
      <x:c r="B190" s="6" t="str">
        <x:v>708f024e6b35ce2da26a</x:v>
      </x:c>
      <x:c r="C190" s="6" t="str">
        <x:v>evidence_approved</x:v>
      </x:c>
      <x:c r="D190" s="6" t="str">
        <x:v>codex-evidence-review-v1</x:v>
      </x:c>
      <x:c r="E190" s="22" t="n">
        <x:v>46244.40206471065</x:v>
      </x:c>
      <x:c r="F190" s="6" t="str">
        <x:v>20</x:v>
      </x:c>
      <x:c r="G190" s="20" t="str">
        <x:v>observed_counterfactual;severe_failure;terminal</x:v>
      </x:c>
      <x:c r="H190" s="20" t="str">
        <x:v>browsergym/miniwob.choose-list</x:v>
      </x:c>
      <x:c r="I190" s="6" t="str">
        <x:v>browsergym/miniwob.choose-list</x:v>
      </x:c>
      <x:c r="J190" s="6" t="str">
        <x:v>cf-choose-list-seed1005-missing_target</x:v>
      </x:c>
      <x:c r="K190" s="6" t="str">
        <x:v>0</x:v>
      </x:c>
      <x:c r="L190" s="20" t="str">
        <x:v>Select Benin from the list and click Submit.</x:v>
      </x:c>
      <x:c r="M190" s="20" t="str">
        <x:v>click("23", "left")</x:v>
      </x:c>
      <x:c r="N190" s="6" t="str">
        <x:v>0.0</x:v>
      </x:c>
      <x:c r="O190" s="20" t="str">
        <x:v>file:///root/autodl-tmp/miniwob-plusplus/miniwob/html/miniwob/choose-list.html</x:v>
      </x:c>
      <x:c r="P190" s="20" t="str">
        <x:v>Choose List Task</x:v>
      </x:c>
      <x:c r="Q190" s="20" t="str">
        <x:v>RootWebArea 'Choose List Task', focused [13] combobox '' value='Brunei Darussalam', hasPopup='menu', expanded=False [23] button 'Submit', clickable</x:v>
      </x:c>
      <x:c r="R190" s="20" t="str">
        <x:v>file:///root/autodl-tmp/miniwob-plusplus/miniwob/html/miniwob/choose-list.html</x:v>
      </x:c>
      <x:c r="S190" s="20" t="str">
        <x:v>Choose List Task</x:v>
      </x:c>
      <x:c r="T190" s="20" t="str">
        <x:v>RootWebArea 'Choose List Task', focused [13] combobox '' value='Brunei Darussalam', hasPopup='menu', expanded=False [23] button 'Submit', clickable, focused</x:v>
      </x:c>
      <x:c r="U190" s="6" t="str">
        <x:v>0</x:v>
      </x:c>
      <x:c r="V190" s="6" t="str">
        <x:v>0</x:v>
      </x:c>
      <x:c r="W190" s="6" t="str">
        <x:v>0</x:v>
      </x:c>
      <x:c r="X190" s="6" t="str">
        <x:v>1</x:v>
      </x:c>
      <x:c r="Y190" s="6" t="str">
        <x:v>0</x:v>
      </x:c>
      <x:c r="Z190" s="6" t="str">
        <x:v>1</x:v>
      </x:c>
      <x:c r="AA190" s="6" t="str">
        <x:v>0.0</x:v>
      </x:c>
      <x:c r="AB190" s="20" t="str">
        <x:v>Codex证据复核v1：原始记录唯一匹配、环境实测、反事实配对ID完整、终止且非成功、奖励非正、队列标签与结果派生规则一致；非人工签字。</x:v>
      </x:c>
    </x:row>
    <x:row r="191" ht="46" customHeight="1">
      <x:c r="A191" s="6" t="str">
        <x:v>1</x:v>
      </x:c>
      <x:c r="B191" s="6" t="str">
        <x:v>32a3f394af59f40577b2</x:v>
      </x:c>
      <x:c r="C191" s="6" t="str">
        <x:v>evidence_approved</x:v>
      </x:c>
      <x:c r="D191" s="6" t="str">
        <x:v>codex-evidence-review-v1</x:v>
      </x:c>
      <x:c r="E191" s="22" t="n">
        <x:v>46244.40206471065</x:v>
      </x:c>
      <x:c r="F191" s="6" t="str">
        <x:v>20</x:v>
      </x:c>
      <x:c r="G191" s="20" t="str">
        <x:v>observed_counterfactual;severe_failure;terminal</x:v>
      </x:c>
      <x:c r="H191" s="20" t="str">
        <x:v>browsergym/miniwob.login-user</x:v>
      </x:c>
      <x:c r="I191" s="6" t="str">
        <x:v>browsergym/miniwob.login-user</x:v>
      </x:c>
      <x:c r="J191" s="6" t="str">
        <x:v>cf-login-user-seed1034-hard_wrong_target</x:v>
      </x:c>
      <x:c r="K191" s="6" t="str">
        <x:v>0</x:v>
      </x:c>
      <x:c r="L191" s="20" t="str">
        <x:v>Enter the username "leonie" and the password "5M" into the text fields and press login.</x:v>
      </x:c>
      <x:c r="M191" s="20" t="str">
        <x:v>click("20", "left")</x:v>
      </x:c>
      <x:c r="N191" s="6" t="str">
        <x:v>0.0</x:v>
      </x:c>
      <x:c r="O191" s="20" t="str">
        <x:v>file:///root/autodl-tmp/miniwob-plusplus/miniwob/html/miniwob/login-user.html</x:v>
      </x:c>
      <x:c r="P191" s="20" t="str">
        <x:v>Login User Task</x:v>
      </x:c>
      <x:c r="Q191" s="20" t="str">
        <x:v>RootWebArea 'Login User Task', focused [14] paragraph '' [15] LabelText '' StaticText 'Username' [16] textbox '', clickable [17] paragraph '' [18] LabelText '' StaticText 'Password' [19] textbox '', clickable [20] button 'Login', clickable</x:v>
      </x:c>
      <x:c r="R191" s="20" t="str">
        <x:v>file:///root/autodl-tmp/miniwob-plusplus/miniwob/html/miniwob/login-user.html</x:v>
      </x:c>
      <x:c r="S191" s="20" t="str">
        <x:v>Login User Task</x:v>
      </x:c>
      <x:c r="T191" s="20" t="str">
        <x:v>RootWebArea 'Login User Task', focused [14] paragraph '' [15] LabelText '' StaticText 'Username' [16] textbox '', clickable [17] paragraph '' [18] LabelText '' StaticText 'Password' [19] textbox '', clickable [20] button 'Login', clickable, focused</x:v>
      </x:c>
      <x:c r="U191" s="6" t="str">
        <x:v>0</x:v>
      </x:c>
      <x:c r="V191" s="6" t="str">
        <x:v>0</x:v>
      </x:c>
      <x:c r="W191" s="6" t="str">
        <x:v>0</x:v>
      </x:c>
      <x:c r="X191" s="6" t="str">
        <x:v>1</x:v>
      </x:c>
      <x:c r="Y191" s="6" t="str">
        <x:v>0</x:v>
      </x:c>
      <x:c r="Z191" s="6" t="str">
        <x:v>1</x:v>
      </x:c>
      <x:c r="AA191" s="6" t="str">
        <x:v>0.0</x:v>
      </x:c>
      <x:c r="AB191" s="20" t="str">
        <x:v>Codex证据复核v1：原始记录唯一匹配、环境实测、反事实配对ID完整、终止且非成功、奖励非正、队列标签与结果派生规则一致；非人工签字。</x:v>
      </x:c>
    </x:row>
    <x:row r="192" ht="46" customHeight="1">
      <x:c r="A192" s="6" t="str">
        <x:v>1</x:v>
      </x:c>
      <x:c r="B192" s="6" t="str">
        <x:v>53666715683d670ed3c1</x:v>
      </x:c>
      <x:c r="C192" s="6" t="str">
        <x:v>evidence_approved</x:v>
      </x:c>
      <x:c r="D192" s="6" t="str">
        <x:v>codex-evidence-review-v1</x:v>
      </x:c>
      <x:c r="E192" s="22" t="n">
        <x:v>46244.40206471065</x:v>
      </x:c>
      <x:c r="F192" s="6" t="str">
        <x:v>20</x:v>
      </x:c>
      <x:c r="G192" s="20" t="str">
        <x:v>observed_counterfactual;severe_failure;terminal</x:v>
      </x:c>
      <x:c r="H192" s="20" t="str">
        <x:v>browsergym/miniwob.enter-password</x:v>
      </x:c>
      <x:c r="I192" s="6" t="str">
        <x:v>browsergym/miniwob.enter-password</x:v>
      </x:c>
      <x:c r="J192" s="6" t="str">
        <x:v>cf-enter-password-seed1005-hard_wrong_target</x:v>
      </x:c>
      <x:c r="K192" s="6" t="str">
        <x:v>0</x:v>
      </x:c>
      <x:c r="L192" s="20" t="str">
        <x:v>Enter the password "ppwU" into both text fields and press submit.</x:v>
      </x:c>
      <x:c r="M192" s="20" t="str">
        <x:v>click("20", "left")</x:v>
      </x:c>
      <x:c r="N192" s="6" t="str">
        <x:v>0.0</x:v>
      </x:c>
      <x:c r="O192" s="20" t="str">
        <x:v>file:///root/autodl-tmp/miniwob-plusplus/miniwob/html/miniwob/enter-password.html</x:v>
      </x:c>
      <x:c r="P192" s="20" t="str">
        <x:v>Enter Password Task</x:v>
      </x:c>
      <x:c r="Q192" s="20" t="str">
        <x:v>RootWebArea 'Enter Password Task', focused [14] paragraph '' [15] LabelText '' StaticText 'Password' [16] textbox '', clickable [17] paragraph '' [18] LabelText '' StaticText 'Verify password' [19] textbox '', clickable [20] button 'Submit', clickable</x:v>
      </x:c>
      <x:c r="R192" s="20" t="str">
        <x:v>file:///root/autodl-tmp/miniwob-plusplus/miniwob/html/miniwob/enter-password.html</x:v>
      </x:c>
      <x:c r="S192" s="20" t="str">
        <x:v>Enter Password Task</x:v>
      </x:c>
      <x:c r="T192" s="20" t="str">
        <x:v>RootWebArea 'Enter Password Task', focused [14] paragraph '' [15] LabelText '' StaticText 'Password' [16] textbox '', clickable [17] paragraph '' [18] LabelText '' StaticText 'Verify password' [19] textbox '', clickable [20] button 'Submit', clickable, focused</x:v>
      </x:c>
      <x:c r="U192" s="6" t="str">
        <x:v>0</x:v>
      </x:c>
      <x:c r="V192" s="6" t="str">
        <x:v>0</x:v>
      </x:c>
      <x:c r="W192" s="6" t="str">
        <x:v>0</x:v>
      </x:c>
      <x:c r="X192" s="6" t="str">
        <x:v>1</x:v>
      </x:c>
      <x:c r="Y192" s="6" t="str">
        <x:v>0</x:v>
      </x:c>
      <x:c r="Z192" s="6" t="str">
        <x:v>1</x:v>
      </x:c>
      <x:c r="AA192" s="6" t="str">
        <x:v>0.0</x:v>
      </x:c>
      <x:c r="AB192" s="20" t="str">
        <x:v>Codex证据复核v1：原始记录唯一匹配、环境实测、反事实配对ID完整、终止且非成功、奖励非正、队列标签与结果派生规则一致；非人工签字。</x:v>
      </x:c>
    </x:row>
    <x:row r="193" ht="46" customHeight="1">
      <x:c r="A193" s="6" t="str">
        <x:v>1</x:v>
      </x:c>
      <x:c r="B193" s="6" t="str">
        <x:v>b8c779aca439414287bb</x:v>
      </x:c>
      <x:c r="C193" s="6" t="str">
        <x:v>evidence_approved</x:v>
      </x:c>
      <x:c r="D193" s="6" t="str">
        <x:v>codex-evidence-review-v1</x:v>
      </x:c>
      <x:c r="E193" s="22" t="n">
        <x:v>46244.40206471065</x:v>
      </x:c>
      <x:c r="F193" s="6" t="str">
        <x:v>20</x:v>
      </x:c>
      <x:c r="G193" s="20" t="str">
        <x:v>observed_counterfactual;severe_failure;terminal</x:v>
      </x:c>
      <x:c r="H193" s="20" t="str">
        <x:v>browsergym/miniwob.click-menu</x:v>
      </x:c>
      <x:c r="I193" s="6" t="str">
        <x:v>browsergym/miniwob.click-menu</x:v>
      </x:c>
      <x:c r="J193" s="6" t="str">
        <x:v>cf-click-menu-seed1019-wrong_action_type</x:v>
      </x:c>
      <x:c r="K193" s="6" t="str">
        <x:v>0</x:v>
      </x:c>
      <x:c r="L193" s="20" t="str">
        <x:v>Select Caressa&gt;Coreen</x:v>
      </x:c>
      <x:c r="M193" s="20" t="str">
        <x:v>click("37", "left")</x:v>
      </x:c>
      <x:c r="N193" s="6" t="str">
        <x:v>0.0</x:v>
      </x:c>
      <x:c r="O193" s="20" t="str">
        <x:v>file:///root/autodl-tmp/miniwob-plusplus/miniwob/html/miniwob/click-menu.html</x:v>
      </x:c>
      <x:c r="P193" s="20" t="str">
        <x:v>Click Menu Task</x:v>
      </x:c>
      <x:c r="Q193" s="20" t="str">
        <x:v>RootWebArea 'Click Menu Task', focused [17] menu '', clickable, orientation='vertical' image '' [19] menuitem 'Kalila', hasPopup='menu' image '' [37] menuitem 'Caressa', hasPopup='menu'</x:v>
      </x:c>
      <x:c r="R193" s="20" t="str">
        <x:v>file:///root/autodl-tmp/miniwob-plusplus/miniwob/html/miniwob/click-menu.html</x:v>
      </x:c>
      <x:c r="S193" s="20" t="str">
        <x:v>Click Menu Task</x:v>
      </x:c>
      <x:c r="T193" s="20" t="str">
        <x:v>RootWebArea 'Click Menu Task', focused [17] menu '', clickable, orientation='vertical' image '' [19] menuitem 'Kalila', hasPopup='menu' image '' [37] menuitem 'Caressa', hasPopup='menu' [39] menu '', orientation='vertical' image '' [41] menuitem 'Mariam', hasPopup='menu' image '' [51] menuitem 'Farrah' image '' [53] menuitem 'Coreen'</x:v>
      </x:c>
      <x:c r="U193" s="6" t="str">
        <x:v>0</x:v>
      </x:c>
      <x:c r="V193" s="6" t="str">
        <x:v>0</x:v>
      </x:c>
      <x:c r="W193" s="6" t="str">
        <x:v>0</x:v>
      </x:c>
      <x:c r="X193" s="6" t="str">
        <x:v>1</x:v>
      </x:c>
      <x:c r="Y193" s="6" t="str">
        <x:v>0</x:v>
      </x:c>
      <x:c r="Z193" s="6" t="str">
        <x:v>1</x:v>
      </x:c>
      <x:c r="AA193" s="6" t="str">
        <x:v>0.0</x:v>
      </x:c>
      <x:c r="AB193" s="20" t="str">
        <x:v>Codex证据复核v1：原始记录唯一匹配、环境实测、反事实配对ID完整、终止且非成功、奖励非正、队列标签与结果派生规则一致；非人工签字。</x:v>
      </x:c>
    </x:row>
    <x:row r="194" ht="46" customHeight="1">
      <x:c r="A194" s="6" t="str">
        <x:v>1</x:v>
      </x:c>
      <x:c r="B194" s="6" t="str">
        <x:v>ddcf6efffbfd454ebb60</x:v>
      </x:c>
      <x:c r="C194" s="6" t="str">
        <x:v>evidence_approved</x:v>
      </x:c>
      <x:c r="D194" s="6" t="str">
        <x:v>codex-evidence-review-v1</x:v>
      </x:c>
      <x:c r="E194" s="22" t="n">
        <x:v>46244.40206471065</x:v>
      </x:c>
      <x:c r="F194" s="6" t="str">
        <x:v>20</x:v>
      </x:c>
      <x:c r="G194" s="20" t="str">
        <x:v>observed_counterfactual;severe_failure;terminal</x:v>
      </x:c>
      <x:c r="H194" s="20" t="str">
        <x:v>browsergym/miniwob.click-menu</x:v>
      </x:c>
      <x:c r="I194" s="6" t="str">
        <x:v>browsergym/miniwob.click-menu</x:v>
      </x:c>
      <x:c r="J194" s="6" t="str">
        <x:v>cf-click-menu-seed1008-hard_wrong_target</x:v>
      </x:c>
      <x:c r="K194" s="6" t="str">
        <x:v>0</x:v>
      </x:c>
      <x:c r="L194" s="20" t="str">
        <x:v>Select Jori&gt;Melony&gt;Aubrey</x:v>
      </x:c>
      <x:c r="M194" s="20" t="str">
        <x:v>click("19", "left")</x:v>
      </x:c>
      <x:c r="N194" s="6" t="str">
        <x:v>0.0</x:v>
      </x:c>
      <x:c r="O194" s="20" t="str">
        <x:v>file:///root/autodl-tmp/miniwob-plusplus/miniwob/html/miniwob/click-menu.html</x:v>
      </x:c>
      <x:c r="P194" s="20" t="str">
        <x:v>Click Menu Task</x:v>
      </x:c>
      <x:c r="Q194" s="20" t="str">
        <x:v>RootWebArea 'Click Menu Task', focused [17] menu '', clickable, orientation='vertical' image '' [19] menuitem 'Jori', hasPopup='menu' image '' [49] menuitem 'Ardisj' image '' [51] menuitem 'Sosanna' image '' [53] menuitem 'Priscella', hasPopup='menu'</x:v>
      </x:c>
      <x:c r="R194" s="20" t="str">
        <x:v>file:///root/autodl-tmp/miniwob-plusplus/miniwob/html/miniwob/click-menu.html</x:v>
      </x:c>
      <x:c r="S194" s="20" t="str">
        <x:v>Click Menu Task</x:v>
      </x:c>
      <x:c r="T194" s="20" t="str">
        <x:v>RootWebArea 'Click Menu Task', focused [17] menu '', clickable, orientation='vertical' image '' [19] menuitem 'Jori', hasPopup='menu' [21] menu '', orientation='vertical' image '' [23] menuitem 'Donnamarie' image '' [25] menuitem 'Melony', hasPopup='menu' image '' [35] menuitem 'Carie', hasPopup='menu' image '' [47] menuitem 'Dallas' image '' [49] menuitem 'Ardisj' image '' [51] menuitem 'Sosanna' image '' [53] menuitem 'Priscella', hasPopup='menu'</x:v>
      </x:c>
      <x:c r="U194" s="6" t="str">
        <x:v>0</x:v>
      </x:c>
      <x:c r="V194" s="6" t="str">
        <x:v>0</x:v>
      </x:c>
      <x:c r="W194" s="6" t="str">
        <x:v>0</x:v>
      </x:c>
      <x:c r="X194" s="6" t="str">
        <x:v>1</x:v>
      </x:c>
      <x:c r="Y194" s="6" t="str">
        <x:v>0</x:v>
      </x:c>
      <x:c r="Z194" s="6" t="str">
        <x:v>1</x:v>
      </x:c>
      <x:c r="AA194" s="6" t="str">
        <x:v>0.0</x:v>
      </x:c>
      <x:c r="AB194" s="20" t="str">
        <x:v>Codex证据复核v1：原始记录唯一匹配、环境实测、反事实配对ID完整、终止且非成功、奖励非正、队列标签与结果派生规则一致；非人工签字。</x:v>
      </x:c>
    </x:row>
    <x:row r="195" ht="46" customHeight="1">
      <x:c r="A195" s="6" t="str">
        <x:v>1</x:v>
      </x:c>
      <x:c r="B195" s="6" t="str">
        <x:v>4e51b794c28cad7ec82b</x:v>
      </x:c>
      <x:c r="C195" s="6" t="str">
        <x:v>evidence_approved</x:v>
      </x:c>
      <x:c r="D195" s="6" t="str">
        <x:v>codex-evidence-review-v1</x:v>
      </x:c>
      <x:c r="E195" s="22" t="n">
        <x:v>46244.40206471065</x:v>
      </x:c>
      <x:c r="F195" s="6" t="str">
        <x:v>20</x:v>
      </x:c>
      <x:c r="G195" s="20" t="str">
        <x:v>observed_counterfactual;severe_failure;terminal</x:v>
      </x:c>
      <x:c r="H195" s="20" t="str">
        <x:v>browsergym/miniwob.choose-list</x:v>
      </x:c>
      <x:c r="I195" s="6" t="str">
        <x:v>browsergym/miniwob.choose-list</x:v>
      </x:c>
      <x:c r="J195" s="6" t="str">
        <x:v>cf-choose-list-seed1027-hard_wrong_target</x:v>
      </x:c>
      <x:c r="K195" s="6" t="str">
        <x:v>0</x:v>
      </x:c>
      <x:c r="L195" s="20" t="str">
        <x:v>Select Sharleen from the list and click Submit.</x:v>
      </x:c>
      <x:c r="M195" s="20" t="str">
        <x:v>click("19", "left")</x:v>
      </x:c>
      <x:c r="N195" s="6" t="str">
        <x:v>0.0</x:v>
      </x:c>
      <x:c r="O195" s="20" t="str">
        <x:v>file:///root/autodl-tmp/miniwob-plusplus/miniwob/html/miniwob/choose-list.html</x:v>
      </x:c>
      <x:c r="P195" s="20" t="str">
        <x:v>Choose List Task</x:v>
      </x:c>
      <x:c r="Q195" s="20" t="str">
        <x:v>RootWebArea 'Choose List Task', focused [13] combobox '' value='Alyce', hasPopup='menu', expanded=False [19] button 'Submit', clickable</x:v>
      </x:c>
      <x:c r="R195" s="20" t="str">
        <x:v>file:///root/autodl-tmp/miniwob-plusplus/miniwob/html/miniwob/choose-list.html</x:v>
      </x:c>
      <x:c r="S195" s="20" t="str">
        <x:v>Choose List Task</x:v>
      </x:c>
      <x:c r="T195" s="20" t="str">
        <x:v>RootWebArea 'Choose List Task', focused [13] combobox '' value='Alyce', hasPopup='menu', expanded=False [19] button 'Submit', clickable, focused</x:v>
      </x:c>
      <x:c r="U195" s="6" t="str">
        <x:v>0</x:v>
      </x:c>
      <x:c r="V195" s="6" t="str">
        <x:v>0</x:v>
      </x:c>
      <x:c r="W195" s="6" t="str">
        <x:v>0</x:v>
      </x:c>
      <x:c r="X195" s="6" t="str">
        <x:v>1</x:v>
      </x:c>
      <x:c r="Y195" s="6" t="str">
        <x:v>0</x:v>
      </x:c>
      <x:c r="Z195" s="6" t="str">
        <x:v>1</x:v>
      </x:c>
      <x:c r="AA195" s="6" t="str">
        <x:v>0.0</x:v>
      </x:c>
      <x:c r="AB195" s="20" t="str">
        <x:v>Codex证据复核v1：原始记录唯一匹配、环境实测、反事实配对ID完整、终止且非成功、奖励非正、队列标签与结果派生规则一致；非人工签字。</x:v>
      </x:c>
    </x:row>
    <x:row r="196" ht="46" customHeight="1">
      <x:c r="A196" s="6" t="str">
        <x:v>1</x:v>
      </x:c>
      <x:c r="B196" s="6" t="str">
        <x:v>5774210ad18d9b6a217f</x:v>
      </x:c>
      <x:c r="C196" s="6" t="str">
        <x:v>evidence_approved</x:v>
      </x:c>
      <x:c r="D196" s="6" t="str">
        <x:v>codex-evidence-review-v1</x:v>
      </x:c>
      <x:c r="E196" s="22" t="n">
        <x:v>46244.40206471065</x:v>
      </x:c>
      <x:c r="F196" s="6" t="str">
        <x:v>20</x:v>
      </x:c>
      <x:c r="G196" s="20" t="str">
        <x:v>observed_counterfactual;severe_failure;terminal</x:v>
      </x:c>
      <x:c r="H196" s="20" t="str">
        <x:v>browsergym/miniwob.scroll-text</x:v>
      </x:c>
      <x:c r="I196" s="6" t="str">
        <x:v>browsergym/miniwob.scroll-text</x:v>
      </x:c>
      <x:c r="J196" s="6" t="str">
        <x:v>cf-scroll-text-seed1019-hard_wrong_target</x:v>
      </x:c>
      <x:c r="K196" s="6" t="str">
        <x:v>0</x:v>
      </x:c>
      <x:c r="L196" s="20" t="str">
        <x:v>Find the last word in the text area, enter it into the text field and hit Submit.</x:v>
      </x:c>
      <x:c r="M196" s="20" t="str">
        <x:v>click("15", "left")</x:v>
      </x:c>
      <x:c r="N196" s="6" t="str">
        <x:v>0.0</x:v>
      </x:c>
      <x:c r="O196" s="20" t="str">
        <x:v>file:///root/autodl-tmp/miniwob-plusplus/miniwob/html/miniwob/scroll-text.html</x:v>
      </x:c>
      <x:c r="P196" s="20" t="str">
        <x:v>Scroll Text Task</x:v>
      </x:c>
      <x:c r="Q196" s="20" t="str">
        <x:v>RootWebArea 'Scroll Text Task', focused [13] textbox '' value='Amet vitae enim nec pretium convallis donec dui eros,. Nullam in tortor amet faucibus senectus quam tincidunt et. Vestibulum faucibus nunc eu nunc,. Mollis vel praesent amet cras. Feugiat hac maecenas nulla leo magna consequat gravida netus erat mus nulla volutpat. Neque ultrices. Id rhoncus venenatis vitae. Ipsum. Quam.' StaticText 'Amet vitae enim nec pretium convallis donec dui eros,. Nullam in tortor amet faucibus senectus quam tincidunt et. Vestibulum faucibus nunc eu nunc,. Mollis vel praesent amet cras. Feugiat hac maecenas nulla leo magna consequat gravida netus erat mus nulla volutpat. Neque ultrices. Id rhoncus venenatis vitae. Ipsum. Quam.' [14] textbox '', clickable [15] button 'Submit', clickable</x:v>
      </x:c>
      <x:c r="R196" s="20" t="str">
        <x:v>file:///root/autodl-tmp/miniwob-plusplus/miniwob/html/miniwob/scroll-text.html</x:v>
      </x:c>
      <x:c r="S196" s="20" t="str">
        <x:v>Scroll Text Task</x:v>
      </x:c>
      <x:c r="T196" s="20" t="str">
        <x:v>RootWebArea 'Scroll Text Task', focused [13] textbox '' value='Amet vitae enim nec pretium convallis donec dui eros,. Nullam in tortor amet faucibus senectus quam tincidunt et. Vestibulum faucibus nunc eu nunc,. Mollis vel praesent amet cras. Feugiat hac maecenas nulla leo magna consequat gravida netus erat mus nulla volutpat. Neque ultrices. Id rhoncus venenatis vitae. Ipsum. Quam.' StaticText 'Amet vitae enim nec pretium convallis donec dui eros,. Nullam in tortor amet faucibus senectus quam tincidunt et. Vestibulum faucibus nunc eu nunc,. Mollis vel praesent amet cras. Feugiat hac maecenas nulla leo magna consequat gravida netus erat mus nulla volutpat. Neque ultrices. Id rhoncus venenatis vitae. Ipsum. Quam.' [14] textbox '', clickable [15] button 'Submit', clickable, focused</x:v>
      </x:c>
      <x:c r="U196" s="6" t="str">
        <x:v>0</x:v>
      </x:c>
      <x:c r="V196" s="6" t="str">
        <x:v>0</x:v>
      </x:c>
      <x:c r="W196" s="6" t="str">
        <x:v>0</x:v>
      </x:c>
      <x:c r="X196" s="6" t="str">
        <x:v>1</x:v>
      </x:c>
      <x:c r="Y196" s="6" t="str">
        <x:v>0</x:v>
      </x:c>
      <x:c r="Z196" s="6" t="str">
        <x:v>1</x:v>
      </x:c>
      <x:c r="AA196" s="6" t="str">
        <x:v>0.0</x:v>
      </x:c>
      <x:c r="AB196" s="20" t="str">
        <x:v>Codex证据复核v1：原始记录唯一匹配、环境实测、反事实配对ID完整、终止且非成功、奖励非正、队列标签与结果派生规则一致；非人工签字。</x:v>
      </x:c>
    </x:row>
    <x:row r="197" ht="46" customHeight="1">
      <x:c r="A197" s="6" t="str">
        <x:v>1</x:v>
      </x:c>
      <x:c r="B197" s="6" t="str">
        <x:v>8f98d1d503f51d78e3d5</x:v>
      </x:c>
      <x:c r="C197" s="6" t="str">
        <x:v>evidence_approved</x:v>
      </x:c>
      <x:c r="D197" s="6" t="str">
        <x:v>codex-evidence-review-v1</x:v>
      </x:c>
      <x:c r="E197" s="22" t="n">
        <x:v>46244.40206471065</x:v>
      </x:c>
      <x:c r="F197" s="6" t="str">
        <x:v>20</x:v>
      </x:c>
      <x:c r="G197" s="20" t="str">
        <x:v>observed_counterfactual;severe_failure;terminal</x:v>
      </x:c>
      <x:c r="H197" s="20" t="str">
        <x:v>browsergym/miniwob.scroll-text-2</x:v>
      </x:c>
      <x:c r="I197" s="6" t="str">
        <x:v>browsergym/miniwob.scroll-text-2</x:v>
      </x:c>
      <x:c r="J197" s="6" t="str">
        <x:v>cf-scroll-text-2-seed1037-hard_wrong_target</x:v>
      </x:c>
      <x:c r="K197" s="6" t="str">
        <x:v>0</x:v>
      </x:c>
      <x:c r="L197" s="20" t="str">
        <x:v>Scroll the textarea to the bottom of the text hit submit.</x:v>
      </x:c>
      <x:c r="M197" s="20" t="str">
        <x:v>click("14", "left")</x:v>
      </x:c>
      <x:c r="N197" s="6" t="str">
        <x:v>0.0</x:v>
      </x:c>
      <x:c r="O197" s="20" t="str">
        <x:v>file:///root/autodl-tmp/miniwob-plusplus/miniwob/html/miniwob/scroll-text-2.html</x:v>
      </x:c>
      <x:c r="P197" s="20" t="str">
        <x:v>Scroll Text Task</x:v>
      </x:c>
      <x:c r="Q197" s="20" t="str">
        <x:v>RootWebArea 'Scroll Text Task', focused [13] textbox '' value='Proin massa. Pellentesque consequat, nulla adipiscing. Duis cras augue ut viverra fames tortor. Sit nunc faucibus scelerisque vitae eu, eget praesent lorem ullamcorper. In sit duis. Porttitor commodo. Nullam ac ut ac at cras tortor, cras condimentum gravida venenatis tempor, id porttitor venenatis in et vitae in eleifend odio aliquet sit tortor vel consectetur. Fames. Elementum. Amet. A tempor interdum. Ipsum sodales urna,. Quis nisl ac aliquet. Vitae. Consectetur mauris cras. Tempus non eget fames. In velit. Cursus senectus cursus morbi vehicula velit.' StaticText 'Proin massa. Pellentesque consequat, nulla adipiscing. Duis cras augue ut viverra fames tortor. Sit nunc faucibus scelerisque vitae eu, eget praesent lorem ullamcorper. In sit duis. Porttitor commodo. Nullam ac ut ac at cras tortor, cras condimentum gravida venen…</x:v>
      </x:c>
      <x:c r="R197" s="20" t="str">
        <x:v>file:///root/autodl-tmp/miniwob-plusplus/miniwob/html/miniwob/scroll-text-2.html</x:v>
      </x:c>
      <x:c r="S197" s="20" t="str">
        <x:v>Scroll Text Task</x:v>
      </x:c>
      <x:c r="T197" s="20" t="str">
        <x:v>RootWebArea 'Scroll Text Task', focused [13] textbox '' value='Proin massa. Pellentesque consequat, nulla adipiscing. Duis cras augue ut viverra fames tortor. Sit nunc faucibus scelerisque vitae eu, eget praesent lorem ullamcorper. In sit duis. Porttitor commodo. Nullam ac ut ac at cras tortor, cras condimentum gravida venenatis tempor, id porttitor venenatis in et vitae in eleifend odio aliquet sit tortor vel consectetur. Fames. Elementum. Amet. A tempor interdum. Ipsum sodales urna,. Quis nisl ac aliquet. Vitae. Consectetur mauris cras. Tempus non eget fames. In velit. Cursus senectus cursus morbi vehicula velit.' StaticText 'Proin massa. Pellentesque consequat, nulla adipiscing. Duis cras augue ut viverra fames tortor. Sit nunc faucibus scelerisque vitae eu, eget praesent lorem ullamcorper. In sit duis. Porttitor commodo. Nullam ac ut ac at cras tortor, cras condimentum gravida venen…</x:v>
      </x:c>
      <x:c r="U197" s="6" t="str">
        <x:v>0</x:v>
      </x:c>
      <x:c r="V197" s="6" t="str">
        <x:v>0</x:v>
      </x:c>
      <x:c r="W197" s="6" t="str">
        <x:v>0</x:v>
      </x:c>
      <x:c r="X197" s="6" t="str">
        <x:v>1</x:v>
      </x:c>
      <x:c r="Y197" s="6" t="str">
        <x:v>0</x:v>
      </x:c>
      <x:c r="Z197" s="6" t="str">
        <x:v>1</x:v>
      </x:c>
      <x:c r="AA197" s="6" t="str">
        <x:v>0.0</x:v>
      </x:c>
      <x:c r="AB197" s="20" t="str">
        <x:v>Codex证据复核v1：原始记录唯一匹配、环境实测、反事实配对ID完整、终止且非成功、奖励非正、队列标签与结果派生规则一致；非人工签字。</x:v>
      </x:c>
    </x:row>
    <x:row r="198" ht="46" customHeight="1">
      <x:c r="A198" s="6" t="str">
        <x:v>1</x:v>
      </x:c>
      <x:c r="B198" s="6" t="str">
        <x:v>e5e4a075259af1794634</x:v>
      </x:c>
      <x:c r="C198" s="6" t="str">
        <x:v>evidence_approved</x:v>
      </x:c>
      <x:c r="D198" s="6" t="str">
        <x:v>codex-evidence-review-v1</x:v>
      </x:c>
      <x:c r="E198" s="22" t="n">
        <x:v>46244.40206471065</x:v>
      </x:c>
      <x:c r="F198" s="6" t="str">
        <x:v>20</x:v>
      </x:c>
      <x:c r="G198" s="20" t="str">
        <x:v>observed_counterfactual;severe_failure;terminal</x:v>
      </x:c>
      <x:c r="H198" s="20" t="str">
        <x:v>browsergym/miniwob.click-collapsible</x:v>
      </x:c>
      <x:c r="I198" s="6" t="str">
        <x:v>browsergym/miniwob.click-collapsible</x:v>
      </x:c>
      <x:c r="J198" s="6" t="str">
        <x:v>cf-click-collapsible-seed1000-hard_wrong_target</x:v>
      </x:c>
      <x:c r="K198" s="6" t="str">
        <x:v>0</x:v>
      </x:c>
      <x:c r="L198" s="20" t="str">
        <x:v>Expand the section below and click submit.</x:v>
      </x:c>
      <x:c r="M198" s="20" t="str">
        <x:v>click("19", "left")</x:v>
      </x:c>
      <x:c r="N198" s="6" t="str">
        <x:v>0.0</x:v>
      </x:c>
      <x:c r="O198" s="20" t="str">
        <x:v>file:///root/autodl-tmp/miniwob-plusplus/miniwob/html/miniwob/click-collapsible.html</x:v>
      </x:c>
      <x:c r="P198" s="20" t="str">
        <x:v>Click Collapsible Task</x:v>
      </x:c>
      <x:c r="Q198" s="20" t="str">
        <x:v>RootWebArea 'Click Collapsible Task', focused [15] tablist '', multiselectable=False, orientation='horizontal' [16] tab 'Section #1', clickable, expanded=False, selected=False, controls='ui-id-2' [19] tab 'Submit', clickable, expanded=False, selected=False [22] button 'Submit', clickable</x:v>
      </x:c>
      <x:c r="R198" s="20" t="str">
        <x:v>file:///root/autodl-tmp/miniwob-plusplus/miniwob/html/miniwob/click-collapsible.html</x:v>
      </x:c>
      <x:c r="S198" s="20" t="str">
        <x:v>Click Collapsible Task</x:v>
      </x:c>
      <x:c r="T198" s="20" t="str">
        <x:v>RootWebArea 'Click Collapsible Task', focused [15] tablist '', multiselectable=False, orientation='horizontal' [16] tab 'Section #1', clickable, expanded=False, selected=False, controls='ui-id-2' [19] tab 'Submit', clickable, expanded=False, selected=False [22] button 'Submit', clickable, focused</x:v>
      </x:c>
      <x:c r="U198" s="6" t="str">
        <x:v>0</x:v>
      </x:c>
      <x:c r="V198" s="6" t="str">
        <x:v>0</x:v>
      </x:c>
      <x:c r="W198" s="6" t="str">
        <x:v>0</x:v>
      </x:c>
      <x:c r="X198" s="6" t="str">
        <x:v>1</x:v>
      </x:c>
      <x:c r="Y198" s="6" t="str">
        <x:v>0</x:v>
      </x:c>
      <x:c r="Z198" s="6" t="str">
        <x:v>1</x:v>
      </x:c>
      <x:c r="AA198" s="6" t="str">
        <x:v>0.0</x:v>
      </x:c>
      <x:c r="AB198" s="20" t="str">
        <x:v>Codex证据复核v1：原始记录唯一匹配、环境实测、反事实配对ID完整、终止且非成功、奖励非正、队列标签与结果派生规则一致；非人工签字。</x:v>
      </x:c>
    </x:row>
    <x:row r="199" ht="46" customHeight="1">
      <x:c r="A199" s="6" t="str">
        <x:v>1</x:v>
      </x:c>
      <x:c r="B199" s="6" t="str">
        <x:v>21b328fc996640addbb1</x:v>
      </x:c>
      <x:c r="C199" s="6" t="str">
        <x:v>evidence_approved</x:v>
      </x:c>
      <x:c r="D199" s="6" t="str">
        <x:v>codex-evidence-review-v1</x:v>
      </x:c>
      <x:c r="E199" s="22" t="n">
        <x:v>46244.40206471065</x:v>
      </x:c>
      <x:c r="F199" s="6" t="str">
        <x:v>20</x:v>
      </x:c>
      <x:c r="G199" s="20" t="str">
        <x:v>observed_counterfactual;severe_failure;terminal</x:v>
      </x:c>
      <x:c r="H199" s="20" t="str">
        <x:v>browsergym/miniwob.click-tab</x:v>
      </x:c>
      <x:c r="I199" s="6" t="str">
        <x:v>browsergym/miniwob.click-tab</x:v>
      </x:c>
      <x:c r="J199" s="6" t="str">
        <x:v>cf-click-tab-seed1036-hard_wrong_target</x:v>
      </x:c>
      <x:c r="K199" s="6" t="str">
        <x:v>0</x:v>
      </x:c>
      <x:c r="L199" s="20" t="str">
        <x:v>Click on Tab #1.</x:v>
      </x:c>
      <x:c r="M199" s="20" t="str">
        <x:v>click("20", "left")</x:v>
      </x:c>
      <x:c r="N199" s="6" t="str">
        <x:v>0.0</x:v>
      </x:c>
      <x:c r="O199" s="20" t="str">
        <x:v>file:///root/autodl-tmp/miniwob-plusplus/miniwob/html/miniwob/click-tab.html</x:v>
      </x:c>
      <x:c r="P199" s="20" t="str">
        <x:v>Click Tab Task</x:v>
      </x:c>
      <x:c r="Q199"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'Convallis ultricies tortor, purus dis donec. Hac duis duis. Hac. Pharetra, in urna, et elementum tortor accumsan mattis non urna.'</x:v>
      </x:c>
      <x:c r="R199" s="20" t="str">
        <x:v>file:///root/autodl-tmp/miniwob-plusplus/miniwob/html/miniwob/click-tab.html</x:v>
      </x:c>
      <x:c r="S199" s="20" t="str">
        <x:v>Click Tab Task</x:v>
      </x:c>
      <x:c r="T199"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'Convallis ultricies tortor, purus dis donec. Hac duis duis. Hac. Pharetra, in urna, et elementum tortor accumsan mattis non urna.'</x:v>
      </x:c>
      <x:c r="U199" s="6" t="str">
        <x:v>0</x:v>
      </x:c>
      <x:c r="V199" s="6" t="str">
        <x:v>0</x:v>
      </x:c>
      <x:c r="W199" s="6" t="str">
        <x:v>0</x:v>
      </x:c>
      <x:c r="X199" s="6" t="str">
        <x:v>1</x:v>
      </x:c>
      <x:c r="Y199" s="6" t="str">
        <x:v>0</x:v>
      </x:c>
      <x:c r="Z199" s="6" t="str">
        <x:v>1</x:v>
      </x:c>
      <x:c r="AA199" s="6" t="str">
        <x:v>0.0</x:v>
      </x:c>
      <x:c r="AB199" s="20" t="str">
        <x:v>Codex证据复核v1：原始记录唯一匹配、环境实测、反事实配对ID完整、终止且非成功、奖励非正、队列标签与结果派生规则一致；非人工签字。</x:v>
      </x:c>
    </x:row>
    <x:row r="200" ht="46" customHeight="1">
      <x:c r="A200" s="6" t="str">
        <x:v>1</x:v>
      </x:c>
      <x:c r="B200" s="6" t="str">
        <x:v>7f6134b586662a6de11e</x:v>
      </x:c>
      <x:c r="C200" s="6" t="str">
        <x:v>evidence_approved</x:v>
      </x:c>
      <x:c r="D200" s="6" t="str">
        <x:v>codex-evidence-review-v1</x:v>
      </x:c>
      <x:c r="E200" s="22" t="n">
        <x:v>46244.40206471065</x:v>
      </x:c>
      <x:c r="F200" s="6" t="str">
        <x:v>20</x:v>
      </x:c>
      <x:c r="G200" s="20" t="str">
        <x:v>observed_counterfactual;severe_failure;terminal</x:v>
      </x:c>
      <x:c r="H200" s="20" t="str">
        <x:v>browsergym/miniwob.choose-list</x:v>
      </x:c>
      <x:c r="I200" s="6" t="str">
        <x:v>browsergym/miniwob.choose-list</x:v>
      </x:c>
      <x:c r="J200" s="6" t="str">
        <x:v>cf-choose-list-seed1025-wrong_action_type</x:v>
      </x:c>
      <x:c r="K200" s="6" t="str">
        <x:v>0</x:v>
      </x:c>
      <x:c r="L200" s="20" t="str">
        <x:v>Select Fiji from the list and click Submit.</x:v>
      </x:c>
      <x:c r="M200" s="20" t="str">
        <x:v>click("21", "left")</x:v>
      </x:c>
      <x:c r="N200" s="6" t="str">
        <x:v>0.0</x:v>
      </x:c>
      <x:c r="O200" s="20" t="str">
        <x:v>file:///root/autodl-tmp/miniwob-plusplus/miniwob/html/miniwob/choose-list.html</x:v>
      </x:c>
      <x:c r="P200" s="20" t="str">
        <x:v>Choose List Task</x:v>
      </x:c>
      <x:c r="Q200" s="20" t="str">
        <x:v>RootWebArea 'Choose List Task', focused [13] combobox '' value='South Africa', hasPopup='menu', expanded=False [21] button 'Submit', clickable</x:v>
      </x:c>
      <x:c r="R200" s="20" t="str">
        <x:v>file:///root/autodl-tmp/miniwob-plusplus/miniwob/html/miniwob/choose-list.html</x:v>
      </x:c>
      <x:c r="S200" s="20" t="str">
        <x:v>Choose List Task</x:v>
      </x:c>
      <x:c r="T200" s="20" t="str">
        <x:v>RootWebArea 'Choose List Task', focused [13] combobox '' value='South Africa', hasPopup='menu', expanded=False [21] button 'Submit', clickable, focused</x:v>
      </x:c>
      <x:c r="U200" s="6" t="str">
        <x:v>0</x:v>
      </x:c>
      <x:c r="V200" s="6" t="str">
        <x:v>0</x:v>
      </x:c>
      <x:c r="W200" s="6" t="str">
        <x:v>0</x:v>
      </x:c>
      <x:c r="X200" s="6" t="str">
        <x:v>1</x:v>
      </x:c>
      <x:c r="Y200" s="6" t="str">
        <x:v>0</x:v>
      </x:c>
      <x:c r="Z200" s="6" t="str">
        <x:v>1</x:v>
      </x:c>
      <x:c r="AA200" s="6" t="str">
        <x:v>0.0</x:v>
      </x:c>
      <x:c r="AB200" s="20" t="str">
        <x:v>Codex证据复核v1：原始记录唯一匹配、环境实测、反事实配对ID完整、终止且非成功、奖励非正、队列标签与结果派生规则一致；非人工签字。</x:v>
      </x:c>
    </x:row>
    <x:row r="201" ht="46" customHeight="1">
      <x:c r="A201" s="6" t="str">
        <x:v>1</x:v>
      </x:c>
      <x:c r="B201" s="6" t="str">
        <x:v>e1e7d36f39bd8601d407</x:v>
      </x:c>
      <x:c r="C201" s="6" t="str">
        <x:v>evidence_approved</x:v>
      </x:c>
      <x:c r="D201" s="6" t="str">
        <x:v>codex-evidence-review-v1</x:v>
      </x:c>
      <x:c r="E201" s="22" t="n">
        <x:v>46244.40206471065</x:v>
      </x:c>
      <x:c r="F201" s="6" t="str">
        <x:v>20</x:v>
      </x:c>
      <x:c r="G201" s="20" t="str">
        <x:v>observed_counterfactual;severe_failure;terminal</x:v>
      </x:c>
      <x:c r="H201" s="20" t="str">
        <x:v>browsergym/miniwob.scroll-text-2</x:v>
      </x:c>
      <x:c r="I201" s="6" t="str">
        <x:v>browsergym/miniwob.scroll-text-2</x:v>
      </x:c>
      <x:c r="J201" s="6" t="str">
        <x:v>cf-scroll-text-2-seed1002-hard_wrong_target</x:v>
      </x:c>
      <x:c r="K201" s="6" t="str">
        <x:v>0</x:v>
      </x:c>
      <x:c r="L201" s="20" t="str">
        <x:v>Scroll the textarea to the bottom of the text hit submit.</x:v>
      </x:c>
      <x:c r="M201" s="20" t="str">
        <x:v>click("14", "left")</x:v>
      </x:c>
      <x:c r="N201" s="6" t="str">
        <x:v>0.0</x:v>
      </x:c>
      <x:c r="O201" s="20" t="str">
        <x:v>file:///root/autodl-tmp/miniwob-plusplus/miniwob/html/miniwob/scroll-text-2.html</x:v>
      </x:c>
      <x:c r="P201" s="20" t="str">
        <x:v>Scroll Text Task</x:v>
      </x:c>
      <x:c r="Q201" s="20" t="str">
        <x:v>RootWebArea 'Scroll Text Task', focused [13] textbox '' value='In. Vel convallis ligula. Faucibus. Ornare sed. Massa. Aenean diam vitae sociis mi libero varius. Accumsan pharetra vitae integer aenean arcu faucibus pretium gravida elit, facilisis amet dignissim dui laoreet pellentesque. Rutrum. Urna, scelerisque tristique eget. Proin id libero, pellentesque integer massa. Enim. Tristique dictum elit a fringilla netus eget placerat metus est aliquam sed eget maecenas ipsum amet. At ultrices. Nulla et feugiat nunc, mi amet at risus faucibus eget blandit sit. Libero a sem porttitor pulvinar. Pellentesque a, varius ac etiam enim enim … StaticText 'In. Vel convallis ligula. Faucibus. Ornare sed. Massa. Aenean diam vitae sociis mi libero varius. Accumsan pharetra vitae integer aenean arcu faucibus pretium gravida elit, facilisis amet dignissim dui laoreet pellentesque. Rutrum. Urna, scelerisqu…</x:v>
      </x:c>
      <x:c r="R201" s="20" t="str">
        <x:v>file:///root/autodl-tmp/miniwob-plusplus/miniwob/html/miniwob/scroll-text-2.html</x:v>
      </x:c>
      <x:c r="S201" s="20" t="str">
        <x:v>Scroll Text Task</x:v>
      </x:c>
      <x:c r="T201" s="20" t="str">
        <x:v>RootWebArea 'Scroll Text Task', focused [13] textbox '' value='In. Vel convallis ligula. Faucibus. Ornare sed. Massa. Aenean diam vitae sociis mi libero varius. Accumsan pharetra vitae integer aenean arcu faucibus pretium gravida elit, facilisis amet dignissim dui laoreet pellentesque. Rutrum. Urna, scelerisque tristique eget. Proin id libero, pellentesque integer massa. Enim. Tristique dictum elit a fringilla netus eget placerat metus est aliquam sed eget maecenas ipsum amet. At ultrices. Nulla et feugiat nunc, mi amet at risus faucibus eget blandit sit. Libero a sem porttitor pulvinar. Pellentesque a, varius ac etiam enim enim … StaticText 'In. Vel convallis ligula. Faucibus. Ornare sed. Massa. Aenean diam vitae sociis mi libero varius. Accumsan pharetra vitae integer aenean arcu faucibus pretium gravida elit, facilisis amet dignissim dui laoreet pellentesque. Rutrum. Urna, scelerisqu…</x:v>
      </x:c>
      <x:c r="U201" s="6" t="str">
        <x:v>0</x:v>
      </x:c>
      <x:c r="V201" s="6" t="str">
        <x:v>0</x:v>
      </x:c>
      <x:c r="W201" s="6" t="str">
        <x:v>0</x:v>
      </x:c>
      <x:c r="X201" s="6" t="str">
        <x:v>1</x:v>
      </x:c>
      <x:c r="Y201" s="6" t="str">
        <x:v>0</x:v>
      </x:c>
      <x:c r="Z201" s="6" t="str">
        <x:v>1</x:v>
      </x:c>
      <x:c r="AA201" s="6" t="str">
        <x:v>0.0</x:v>
      </x:c>
      <x:c r="AB201" s="20" t="str">
        <x:v>Codex证据复核v1：原始记录唯一匹配、环境实测、反事实配对ID完整、终止且非成功、奖励非正、队列标签与结果派生规则一致；非人工签字。</x:v>
      </x:c>
    </x:row>
    <x:row r="202" ht="46" customHeight="1">
      <x:c r="A202" s="6" t="str">
        <x:v>1</x:v>
      </x:c>
      <x:c r="B202" s="6" t="str">
        <x:v>fb3b267e202feb9d4214</x:v>
      </x:c>
      <x:c r="C202" s="6" t="str">
        <x:v>evidence_approved</x:v>
      </x:c>
      <x:c r="D202" s="6" t="str">
        <x:v>codex-evidence-review-v1</x:v>
      </x:c>
      <x:c r="E202" s="22" t="n">
        <x:v>46244.40206471065</x:v>
      </x:c>
      <x:c r="F202" s="6" t="str">
        <x:v>20</x:v>
      </x:c>
      <x:c r="G202" s="20" t="str">
        <x:v>observed_counterfactual;severe_failure;terminal</x:v>
      </x:c>
      <x:c r="H202" s="20" t="str">
        <x:v>browsergym/miniwob.enter-text-dynamic</x:v>
      </x:c>
      <x:c r="I202" s="6" t="str">
        <x:v>browsergym/miniwob.enter-text-dynamic</x:v>
      </x:c>
      <x:c r="J202" s="6" t="str">
        <x:v>cf-enter-text-dynamic-seed1005-hard_wrong_target</x:v>
      </x:c>
      <x:c r="K202" s="6" t="str">
        <x:v>0</x:v>
      </x:c>
      <x:c r="L202" s="20" t="str">
        <x:v>Enter "U" into the text field and press Submit.</x:v>
      </x:c>
      <x:c r="M202" s="20" t="str">
        <x:v>click("15", "left")</x:v>
      </x:c>
      <x:c r="N202" s="6" t="str">
        <x:v>0.0</x:v>
      </x:c>
      <x:c r="O202" s="20" t="str">
        <x:v>file:///root/autodl-tmp/miniwob-plusplus/miniwob/html/miniwob/enter-text-dynamic.html</x:v>
      </x:c>
      <x:c r="P202" s="20" t="str">
        <x:v>Enter Dynamic Text Task</x:v>
      </x:c>
      <x:c r="Q202" s="20" t="str">
        <x:v>RootWebArea 'Enter Dynamic Text Task', focused [14] textbox '', clickable [15] button 'Submit', clickable</x:v>
      </x:c>
      <x:c r="R202" s="20" t="str">
        <x:v>file:///root/autodl-tmp/miniwob-plusplus/miniwob/html/miniwob/enter-text-dynamic.html</x:v>
      </x:c>
      <x:c r="S202" s="20" t="str">
        <x:v>Enter Dynamic Text Task</x:v>
      </x:c>
      <x:c r="T202" s="20" t="str">
        <x:v>RootWebArea 'Enter Dynamic Text Task', focused [14] textbox '', clickable [15] button 'Submit', clickable, focused</x:v>
      </x:c>
      <x:c r="U202" s="6" t="str">
        <x:v>0</x:v>
      </x:c>
      <x:c r="V202" s="6" t="str">
        <x:v>0</x:v>
      </x:c>
      <x:c r="W202" s="6" t="str">
        <x:v>0</x:v>
      </x:c>
      <x:c r="X202" s="6" t="str">
        <x:v>1</x:v>
      </x:c>
      <x:c r="Y202" s="6" t="str">
        <x:v>0</x:v>
      </x:c>
      <x:c r="Z202" s="6" t="str">
        <x:v>1</x:v>
      </x:c>
      <x:c r="AA202" s="6" t="str">
        <x:v>0.0</x:v>
      </x:c>
      <x:c r="AB202" s="20" t="str">
        <x:v>Codex证据复核v1：原始记录唯一匹配、环境实测、反事实配对ID完整、终止且非成功、奖励非正、队列标签与结果派生规则一致；非人工签字。</x:v>
      </x:c>
    </x:row>
    <x:row r="203" ht="46" customHeight="1">
      <x:c r="A203" s="6" t="str">
        <x:v>1</x:v>
      </x:c>
      <x:c r="B203" s="6" t="str">
        <x:v>ef76c88e04785b7a56db</x:v>
      </x:c>
      <x:c r="C203" s="6" t="str">
        <x:v>evidence_approved</x:v>
      </x:c>
      <x:c r="D203" s="6" t="str">
        <x:v>codex-evidence-review-v1</x:v>
      </x:c>
      <x:c r="E203" s="22" t="n">
        <x:v>46244.40206471065</x:v>
      </x:c>
      <x:c r="F203" s="6" t="str">
        <x:v>20</x:v>
      </x:c>
      <x:c r="G203" s="20" t="str">
        <x:v>observed_counterfactual;severe_failure;terminal</x:v>
      </x:c>
      <x:c r="H203" s="20" t="str">
        <x:v>browsergym/miniwob.choose-list</x:v>
      </x:c>
      <x:c r="I203" s="6" t="str">
        <x:v>browsergym/miniwob.choose-list</x:v>
      </x:c>
      <x:c r="J203" s="6" t="str">
        <x:v>cf-choose-list-seed1012-missing_target</x:v>
      </x:c>
      <x:c r="K203" s="6" t="str">
        <x:v>0</x:v>
      </x:c>
      <x:c r="L203" s="20" t="str">
        <x:v>Select Kristin from the list and click Submit.</x:v>
      </x:c>
      <x:c r="M203" s="20" t="str">
        <x:v>click("20", "left")</x:v>
      </x:c>
      <x:c r="N203" s="6" t="str">
        <x:v>0.0</x:v>
      </x:c>
      <x:c r="O203" s="20" t="str">
        <x:v>file:///root/autodl-tmp/miniwob-plusplus/miniwob/html/miniwob/choose-list.html</x:v>
      </x:c>
      <x:c r="P203" s="20" t="str">
        <x:v>Choose List Task</x:v>
      </x:c>
      <x:c r="Q203" s="20" t="str">
        <x:v>RootWebArea 'Choose List Task', focused [13] combobox '' value='Donni', hasPopup='menu', expanded=False [20] button 'Submit', clickable</x:v>
      </x:c>
      <x:c r="R203" s="20" t="str">
        <x:v>file:///root/autodl-tmp/miniwob-plusplus/miniwob/html/miniwob/choose-list.html</x:v>
      </x:c>
      <x:c r="S203" s="20" t="str">
        <x:v>Choose List Task</x:v>
      </x:c>
      <x:c r="T203" s="20" t="str">
        <x:v>RootWebArea 'Choose List Task', focused [13] combobox '' value='Donni', hasPopup='menu', expanded=False [20] button 'Submit', clickable, focused</x:v>
      </x:c>
      <x:c r="U203" s="6" t="str">
        <x:v>0</x:v>
      </x:c>
      <x:c r="V203" s="6" t="str">
        <x:v>0</x:v>
      </x:c>
      <x:c r="W203" s="6" t="str">
        <x:v>0</x:v>
      </x:c>
      <x:c r="X203" s="6" t="str">
        <x:v>1</x:v>
      </x:c>
      <x:c r="Y203" s="6" t="str">
        <x:v>0</x:v>
      </x:c>
      <x:c r="Z203" s="6" t="str">
        <x:v>1</x:v>
      </x:c>
      <x:c r="AA203" s="6" t="str">
        <x:v>0.0</x:v>
      </x:c>
      <x:c r="AB203" s="20" t="str">
        <x:v>Codex证据复核v1：原始记录唯一匹配、环境实测、反事实配对ID完整、终止且非成功、奖励非正、队列标签与结果派生规则一致；非人工签字。</x:v>
      </x:c>
    </x:row>
    <x:row r="204" ht="46" customHeight="1">
      <x:c r="A204" s="6" t="str">
        <x:v>1</x:v>
      </x:c>
      <x:c r="B204" s="6" t="str">
        <x:v>a2a0f5233d57dbb76567</x:v>
      </x:c>
      <x:c r="C204" s="6" t="str">
        <x:v>evidence_approved</x:v>
      </x:c>
      <x:c r="D204" s="6" t="str">
        <x:v>codex-evidence-review-v1</x:v>
      </x:c>
      <x:c r="E204" s="22" t="n">
        <x:v>46244.40206471065</x:v>
      </x:c>
      <x:c r="F204" s="6" t="str">
        <x:v>20</x:v>
      </x:c>
      <x:c r="G204" s="20" t="str">
        <x:v>observed_counterfactual;severe_failure;terminal</x:v>
      </x:c>
      <x:c r="H204" s="20" t="str">
        <x:v>browsergym/miniwob.click-test-2</x:v>
      </x:c>
      <x:c r="I204" s="6" t="str">
        <x:v>browsergym/miniwob.click-test-2</x:v>
      </x:c>
      <x:c r="J204" s="6" t="str">
        <x:v>cf-click-test-2-seed1002-hard_wrong_target</x:v>
      </x:c>
      <x:c r="K204" s="6" t="str">
        <x:v>0</x:v>
      </x:c>
      <x:c r="L204" s="20" t="str">
        <x:v>Click button ONE.</x:v>
      </x:c>
      <x:c r="M204" s="20" t="str">
        <x:v>click("14", "left")</x:v>
      </x:c>
      <x:c r="N204" s="6" t="str">
        <x:v>0.0</x:v>
      </x:c>
      <x:c r="O204" s="20" t="str">
        <x:v>file:///root/autodl-tmp/miniwob-plusplus/miniwob/html/miniwob/click-test-2.html</x:v>
      </x:c>
      <x:c r="P204" s="20" t="str">
        <x:v>Click Test Task</x:v>
      </x:c>
      <x:c r="Q204" s="20" t="str">
        <x:v>RootWebArea 'Click Test Task', focused [13] button 'ONE', clickable [14] button 'TWO', clickable</x:v>
      </x:c>
      <x:c r="R204" s="20" t="str">
        <x:v>file:///root/autodl-tmp/miniwob-plusplus/miniwob/html/miniwob/click-test-2.html</x:v>
      </x:c>
      <x:c r="S204" s="20" t="str">
        <x:v>Click Test Task</x:v>
      </x:c>
      <x:c r="T204" s="20" t="str">
        <x:v>RootWebArea 'Click Test Task', focused [13] button 'ONE', clickable [14] button 'TWO', clickable, focused</x:v>
      </x:c>
      <x:c r="U204" s="6" t="str">
        <x:v>0</x:v>
      </x:c>
      <x:c r="V204" s="6" t="str">
        <x:v>0</x:v>
      </x:c>
      <x:c r="W204" s="6" t="str">
        <x:v>0</x:v>
      </x:c>
      <x:c r="X204" s="6" t="str">
        <x:v>1</x:v>
      </x:c>
      <x:c r="Y204" s="6" t="str">
        <x:v>0</x:v>
      </x:c>
      <x:c r="Z204" s="6" t="str">
        <x:v>1</x:v>
      </x:c>
      <x:c r="AA204" s="6" t="str">
        <x:v>0.0</x:v>
      </x:c>
      <x:c r="AB204" s="20" t="str">
        <x:v>Codex证据复核v1：原始记录唯一匹配、环境实测、反事实配对ID完整、终止且非成功、奖励非正、队列标签与结果派生规则一致；非人工签字。</x:v>
      </x:c>
    </x:row>
    <x:row r="205" ht="46" customHeight="1">
      <x:c r="A205" s="6" t="str">
        <x:v>1</x:v>
      </x:c>
      <x:c r="B205" s="6" t="str">
        <x:v>5ad753746bafd611e2b0</x:v>
      </x:c>
      <x:c r="C205" s="6" t="str">
        <x:v>evidence_approved</x:v>
      </x:c>
      <x:c r="D205" s="6" t="str">
        <x:v>codex-evidence-review-v1</x:v>
      </x:c>
      <x:c r="E205" s="22" t="n">
        <x:v>46244.40206471065</x:v>
      </x:c>
      <x:c r="F205" s="6" t="str">
        <x:v>20</x:v>
      </x:c>
      <x:c r="G205" s="20" t="str">
        <x:v>observed_counterfactual;severe_failure;terminal</x:v>
      </x:c>
      <x:c r="H205" s="20" t="str">
        <x:v>browsergym/miniwob.click-widget</x:v>
      </x:c>
      <x:c r="I205" s="6" t="str">
        <x:v>browsergym/miniwob.click-widget</x:v>
      </x:c>
      <x:c r="J205" s="6" t="str">
        <x:v>cf-click-widget-seed1019-missing_target</x:v>
      </x:c>
      <x:c r="K205" s="6" t="str">
        <x:v>0</x:v>
      </x:c>
      <x:c r="L205" s="20" t="str">
        <x:v>Click on a "checkbox" widget.</x:v>
      </x:c>
      <x:c r="M205" s="20" t="str">
        <x:v>click("19", "left")</x:v>
      </x:c>
      <x:c r="N205" s="6" t="str">
        <x:v>0.0</x:v>
      </x:c>
      <x:c r="O205" s="20" t="str">
        <x:v>file:///root/autodl-tmp/miniwob-plusplus/miniwob/html/miniwob/click-widget.html</x:v>
      </x:c>
      <x:c r="P205" s="20" t="str">
        <x:v>Click Widget Task</x:v>
      </x:c>
      <x:c r="Q205" s="20" t="str">
        <x:v>RootWebArea 'Click Widget Task', focused [14] LabelText '', clickable [15] checkbox 'QTT', clickable, checked='false' StaticText 'QTT' [17] textbox '' value='GYhN' StaticText 'GYhN' [19] button 'VNjQ' [21] LabelText '', clickable [22] checkbox '7', clickable, checked='false' StaticText '7' [24] LabelText '', clickable [25] checkbox 'cACj', clickable, checked='false' StaticText 'cACj'</x:v>
      </x:c>
      <x:c r="R205" s="20" t="str">
        <x:v>file:///root/autodl-tmp/miniwob-plusplus/miniwob/html/miniwob/click-widget.html</x:v>
      </x:c>
      <x:c r="S205" s="20" t="str">
        <x:v>Click Widget Task</x:v>
      </x:c>
      <x:c r="T205" s="20" t="str">
        <x:v>RootWebArea 'Click Widget Task', focused [14] LabelText '', clickable [15] checkbox 'QTT', clickable, checked='false' StaticText 'QTT' [17] textbox '' value='GYhN' StaticText 'GYhN' [19] button 'VNjQ', focused [21] LabelText '', clickable [22] checkbox '7', clickable, checked='false' StaticText '7' [24] LabelText '', clickable [25] checkbox 'cACj', clickable, checked='false' StaticText 'cACj'</x:v>
      </x:c>
      <x:c r="U205" s="6" t="str">
        <x:v>0</x:v>
      </x:c>
      <x:c r="V205" s="6" t="str">
        <x:v>0</x:v>
      </x:c>
      <x:c r="W205" s="6" t="str">
        <x:v>0</x:v>
      </x:c>
      <x:c r="X205" s="6" t="str">
        <x:v>1</x:v>
      </x:c>
      <x:c r="Y205" s="6" t="str">
        <x:v>0</x:v>
      </x:c>
      <x:c r="Z205" s="6" t="str">
        <x:v>1</x:v>
      </x:c>
      <x:c r="AA205" s="6" t="str">
        <x:v>0.0</x:v>
      </x:c>
      <x:c r="AB205" s="20" t="str">
        <x:v>Codex证据复核v1：原始记录唯一匹配、环境实测、反事实配对ID完整、终止且非成功、奖励非正、队列标签与结果派生规则一致；非人工签字。</x:v>
      </x:c>
    </x:row>
    <x:row r="206" ht="46" customHeight="1">
      <x:c r="A206" s="6" t="str">
        <x:v>1</x:v>
      </x:c>
      <x:c r="B206" s="6" t="str">
        <x:v>d89c6ea3bf64d25a8d9c</x:v>
      </x:c>
      <x:c r="C206" s="6" t="str">
        <x:v>evidence_approved</x:v>
      </x:c>
      <x:c r="D206" s="6" t="str">
        <x:v>codex-evidence-review-v1</x:v>
      </x:c>
      <x:c r="E206" s="22" t="n">
        <x:v>46244.40206471065</x:v>
      </x:c>
      <x:c r="F206" s="6" t="str">
        <x:v>20</x:v>
      </x:c>
      <x:c r="G206" s="20" t="str">
        <x:v>observed_counterfactual;severe_failure;terminal</x:v>
      </x:c>
      <x:c r="H206" s="20" t="str">
        <x:v>browsergym/miniwob.click-button</x:v>
      </x:c>
      <x:c r="I206" s="6" t="str">
        <x:v>browsergym/miniwob.click-button</x:v>
      </x:c>
      <x:c r="J206" s="6" t="str">
        <x:v>cf-click-button-seed1019-hard_wrong_target</x:v>
      </x:c>
      <x:c r="K206" s="6" t="str">
        <x:v>0</x:v>
      </x:c>
      <x:c r="L206" s="20" t="str">
        <x:v>Click on the "previous" button.</x:v>
      </x:c>
      <x:c r="M206" s="20" t="str">
        <x:v>click("18", "left")</x:v>
      </x:c>
      <x:c r="N206" s="6" t="str">
        <x:v>0.0</x:v>
      </x:c>
      <x:c r="O206" s="20" t="str">
        <x:v>file:///root/autodl-tmp/miniwob-plusplus/miniwob/html/miniwob/click-button.html</x:v>
      </x:c>
      <x:c r="P206" s="20" t="str">
        <x:v>Click Button Task</x:v>
      </x:c>
      <x:c r="Q206" s="20" t="str">
        <x:v>RootWebArea 'Click Button Task', focused StaticText 'amet integer vitae' [13] textbox '', clickable [15] textbox '', clickable [17] button 'previous', clickable [18] button 'Ok', clickable StaticText 'nullam aliquet in'</x:v>
      </x:c>
      <x:c r="R206" s="20" t="str">
        <x:v>file:///root/autodl-tmp/miniwob-plusplus/miniwob/html/miniwob/click-button.html</x:v>
      </x:c>
      <x:c r="S206" s="20" t="str">
        <x:v>Click Button Task</x:v>
      </x:c>
      <x:c r="T206" s="20" t="str">
        <x:v>RootWebArea 'Click Button Task', focused StaticText 'amet integer vitae' [13] textbox '', clickable [15] textbox '', clickable [17] button 'previous', clickable [18] button 'Ok', clickable, focused StaticText 'nullam aliquet in'</x:v>
      </x:c>
      <x:c r="U206" s="6" t="str">
        <x:v>0</x:v>
      </x:c>
      <x:c r="V206" s="6" t="str">
        <x:v>0</x:v>
      </x:c>
      <x:c r="W206" s="6" t="str">
        <x:v>0</x:v>
      </x:c>
      <x:c r="X206" s="6" t="str">
        <x:v>1</x:v>
      </x:c>
      <x:c r="Y206" s="6" t="str">
        <x:v>0</x:v>
      </x:c>
      <x:c r="Z206" s="6" t="str">
        <x:v>1</x:v>
      </x:c>
      <x:c r="AA206" s="6" t="str">
        <x:v>0.0</x:v>
      </x:c>
      <x:c r="AB206" s="20" t="str">
        <x:v>Codex证据复核v1：原始记录唯一匹配、环境实测、反事实配对ID完整、终止且非成功、奖励非正、队列标签与结果派生规则一致；非人工签字。</x:v>
      </x:c>
    </x:row>
    <x:row r="207" ht="46" customHeight="1">
      <x:c r="A207" s="6" t="str">
        <x:v>1</x:v>
      </x:c>
      <x:c r="B207" s="6" t="str">
        <x:v>61eef4adc9858ef1489c</x:v>
      </x:c>
      <x:c r="C207" s="6" t="str">
        <x:v>evidence_approved</x:v>
      </x:c>
      <x:c r="D207" s="6" t="str">
        <x:v>codex-evidence-review-v1</x:v>
      </x:c>
      <x:c r="E207" s="22" t="n">
        <x:v>46244.40206471065</x:v>
      </x:c>
      <x:c r="F207" s="6" t="str">
        <x:v>20</x:v>
      </x:c>
      <x:c r="G207" s="20" t="str">
        <x:v>observed_counterfactual;severe_failure;terminal</x:v>
      </x:c>
      <x:c r="H207" s="20" t="str">
        <x:v>browsergym/miniwob.click-button</x:v>
      </x:c>
      <x:c r="I207" s="6" t="str">
        <x:v>browsergym/miniwob.click-button</x:v>
      </x:c>
      <x:c r="J207" s="6" t="str">
        <x:v>cf-click-button-seed1008-hard_wrong_target</x:v>
      </x:c>
      <x:c r="K207" s="6" t="str">
        <x:v>0</x:v>
      </x:c>
      <x:c r="L207" s="20" t="str">
        <x:v>Click on the "yes" button.</x:v>
      </x:c>
      <x:c r="M207" s="20" t="str">
        <x:v>click("12", "left")</x:v>
      </x:c>
      <x:c r="N207" s="6" t="str">
        <x:v>0.0</x:v>
      </x:c>
      <x:c r="O207" s="20" t="str">
        <x:v>file:///root/autodl-tmp/miniwob-plusplus/miniwob/html/miniwob/click-button.html</x:v>
      </x:c>
      <x:c r="P207" s="20" t="str">
        <x:v>Click Button Task</x:v>
      </x:c>
      <x:c r="Q207" s="20" t="str">
        <x:v>RootWebArea 'Click Button Task', focused [12] button 'Yes', clickable StaticText 'ut amet, sed:' [14] textbox '', clickable [16] button 'Yes', clickable [18] textbox '', clickable [20] button 'yes', clickable StaticText 'nibh massa neque'</x:v>
      </x:c>
      <x:c r="R207" s="20" t="str">
        <x:v>file:///root/autodl-tmp/miniwob-plusplus/miniwob/html/miniwob/click-button.html</x:v>
      </x:c>
      <x:c r="S207" s="20" t="str">
        <x:v>Click Button Task</x:v>
      </x:c>
      <x:c r="T207" s="20" t="str">
        <x:v>RootWebArea 'Click Button Task', focused [12] button 'Yes', clickable, focused StaticText 'ut amet, sed:' [14] textbox '', clickable [16] button 'Yes', clickable [18] textbox '', clickable [20] button 'yes', clickable StaticText 'nibh massa neque'</x:v>
      </x:c>
      <x:c r="U207" s="6" t="str">
        <x:v>0</x:v>
      </x:c>
      <x:c r="V207" s="6" t="str">
        <x:v>0</x:v>
      </x:c>
      <x:c r="W207" s="6" t="str">
        <x:v>0</x:v>
      </x:c>
      <x:c r="X207" s="6" t="str">
        <x:v>1</x:v>
      </x:c>
      <x:c r="Y207" s="6" t="str">
        <x:v>0</x:v>
      </x:c>
      <x:c r="Z207" s="6" t="str">
        <x:v>1</x:v>
      </x:c>
      <x:c r="AA207" s="6" t="str">
        <x:v>0.0</x:v>
      </x:c>
      <x:c r="AB207" s="20" t="str">
        <x:v>Codex证据复核v1：原始记录唯一匹配、环境实测、反事实配对ID完整、终止且非成功、奖励非正、队列标签与结果派生规则一致；非人工签字。</x:v>
      </x:c>
    </x:row>
    <x:row r="208" ht="46" customHeight="1">
      <x:c r="A208" s="6" t="str">
        <x:v>1</x:v>
      </x:c>
      <x:c r="B208" s="6" t="str">
        <x:v>0ef7e05e774db2f87907</x:v>
      </x:c>
      <x:c r="C208" s="6" t="str">
        <x:v>evidence_approved</x:v>
      </x:c>
      <x:c r="D208" s="6" t="str">
        <x:v>codex-evidence-review-v1</x:v>
      </x:c>
      <x:c r="E208" s="22" t="n">
        <x:v>46244.40206471065</x:v>
      </x:c>
      <x:c r="F208" s="6" t="str">
        <x:v>20</x:v>
      </x:c>
      <x:c r="G208" s="20" t="str">
        <x:v>observed_counterfactual;severe_failure;terminal</x:v>
      </x:c>
      <x:c r="H208" s="20" t="str">
        <x:v>browsergym/miniwob.enter-text</x:v>
      </x:c>
      <x:c r="I208" s="6" t="str">
        <x:v>browsergym/miniwob.enter-text</x:v>
      </x:c>
      <x:c r="J208" s="6" t="str">
        <x:v>cf-enter-text-seed1018-hard_wrong_target</x:v>
      </x:c>
      <x:c r="K208" s="6" t="str">
        <x:v>0</x:v>
      </x:c>
      <x:c r="L208" s="20" t="str">
        <x:v>Enter "Cheree" into the text field and press Submit.</x:v>
      </x:c>
      <x:c r="M208" s="20" t="str">
        <x:v>click("15", "left")</x:v>
      </x:c>
      <x:c r="N208" s="6" t="str">
        <x:v>0.0</x:v>
      </x:c>
      <x:c r="O208" s="20" t="str">
        <x:v>file:///root/autodl-tmp/miniwob-plusplus/miniwob/html/miniwob/enter-text.html</x:v>
      </x:c>
      <x:c r="P208" s="20" t="str">
        <x:v>Enter Text Task</x:v>
      </x:c>
      <x:c r="Q208" s="20" t="str">
        <x:v>RootWebArea 'Enter Text Task', focused [14] textbox '', clickable [15] button 'Submit', clickable</x:v>
      </x:c>
      <x:c r="R208" s="20" t="str">
        <x:v>file:///root/autodl-tmp/miniwob-plusplus/miniwob/html/miniwob/enter-text.html</x:v>
      </x:c>
      <x:c r="S208" s="20" t="str">
        <x:v>Enter Text Task</x:v>
      </x:c>
      <x:c r="T208" s="20" t="str">
        <x:v>RootWebArea 'Enter Text Task', focused [14] textbox '', clickable [15] button 'Submit', clickable, focused</x:v>
      </x:c>
      <x:c r="U208" s="6" t="str">
        <x:v>0</x:v>
      </x:c>
      <x:c r="V208" s="6" t="str">
        <x:v>0</x:v>
      </x:c>
      <x:c r="W208" s="6" t="str">
        <x:v>0</x:v>
      </x:c>
      <x:c r="X208" s="6" t="str">
        <x:v>1</x:v>
      </x:c>
      <x:c r="Y208" s="6" t="str">
        <x:v>0</x:v>
      </x:c>
      <x:c r="Z208" s="6" t="str">
        <x:v>1</x:v>
      </x:c>
      <x:c r="AA208" s="6" t="str">
        <x:v>0.0</x:v>
      </x:c>
      <x:c r="AB208" s="20" t="str">
        <x:v>Codex证据复核v1：原始记录唯一匹配、环境实测、反事实配对ID完整、终止且非成功、奖励非正、队列标签与结果派生规则一致；非人工签字。</x:v>
      </x:c>
    </x:row>
    <x:row r="209" ht="46" customHeight="1">
      <x:c r="A209" s="6" t="str">
        <x:v>1</x:v>
      </x:c>
      <x:c r="B209" s="6" t="str">
        <x:v>57df8883e957d1fd41f4</x:v>
      </x:c>
      <x:c r="C209" s="6" t="str">
        <x:v>evidence_approved</x:v>
      </x:c>
      <x:c r="D209" s="6" t="str">
        <x:v>codex-evidence-review-v1</x:v>
      </x:c>
      <x:c r="E209" s="22" t="n">
        <x:v>46244.40206471065</x:v>
      </x:c>
      <x:c r="F209" s="6" t="str">
        <x:v>20</x:v>
      </x:c>
      <x:c r="G209" s="20" t="str">
        <x:v>observed_counterfactual;severe_failure;terminal</x:v>
      </x:c>
      <x:c r="H209" s="20" t="str">
        <x:v>browsergym/miniwob.click-collapsible</x:v>
      </x:c>
      <x:c r="I209" s="6" t="str">
        <x:v>browsergym/miniwob.click-collapsible</x:v>
      </x:c>
      <x:c r="J209" s="6" t="str">
        <x:v>cf-click-collapsible-seed1013-hard_wrong_target</x:v>
      </x:c>
      <x:c r="K209" s="6" t="str">
        <x:v>0</x:v>
      </x:c>
      <x:c r="L209" s="20" t="str">
        <x:v>Expand the section below and click submit.</x:v>
      </x:c>
      <x:c r="M209" s="20" t="str">
        <x:v>click("22", "left")</x:v>
      </x:c>
      <x:c r="N209" s="6" t="str">
        <x:v>0.0</x:v>
      </x:c>
      <x:c r="O209" s="20" t="str">
        <x:v>file:///root/autodl-tmp/miniwob-plusplus/miniwob/html/miniwob/click-collapsible.html</x:v>
      </x:c>
      <x:c r="P209" s="20" t="str">
        <x:v>Click Collapsible Task</x:v>
      </x:c>
      <x:c r="Q209" s="20" t="str">
        <x:v>RootWebArea 'Click Collapsible Task', focused [15] tablist '', multiselectable=False, orientation='horizontal' [16] tab 'Section #40', clickable, expanded=False, selected=False, controls='ui-id-2' [19] tab 'Submit', clickable, expanded=False, selected=False [22] button 'Submit', clickable</x:v>
      </x:c>
      <x:c r="R209" s="20" t="str">
        <x:v>file:///root/autodl-tmp/miniwob-plusplus/miniwob/html/miniwob/click-collapsible.html</x:v>
      </x:c>
      <x:c r="S209" s="20" t="str">
        <x:v>Click Collapsible Task</x:v>
      </x:c>
      <x:c r="T209" s="20" t="str">
        <x:v>RootWebArea 'Click Collapsible Task', focused [15] tablist '', multiselectable=False, orientation='horizontal' [16] tab 'Section #40', clickable, expanded=False, selected=False, controls='ui-id-2' [19] tab 'Submit', clickable, expanded=False, selected=False [22] button 'Submit', clickable, focused</x:v>
      </x:c>
      <x:c r="U209" s="6" t="str">
        <x:v>0</x:v>
      </x:c>
      <x:c r="V209" s="6" t="str">
        <x:v>0</x:v>
      </x:c>
      <x:c r="W209" s="6" t="str">
        <x:v>0</x:v>
      </x:c>
      <x:c r="X209" s="6" t="str">
        <x:v>1</x:v>
      </x:c>
      <x:c r="Y209" s="6" t="str">
        <x:v>0</x:v>
      </x:c>
      <x:c r="Z209" s="6" t="str">
        <x:v>1</x:v>
      </x:c>
      <x:c r="AA209" s="6" t="str">
        <x:v>0.0</x:v>
      </x:c>
      <x:c r="AB209" s="20" t="str">
        <x:v>Codex证据复核v1：原始记录唯一匹配、环境实测、反事实配对ID完整、终止且非成功、奖励非正、队列标签与结果派生规则一致；非人工签字。</x:v>
      </x:c>
    </x:row>
    <x:row r="210" ht="46" customHeight="1">
      <x:c r="A210" s="6" t="str">
        <x:v>1</x:v>
      </x:c>
      <x:c r="B210" s="6" t="str">
        <x:v>705e6da1181eb776bdb0</x:v>
      </x:c>
      <x:c r="C210" s="6" t="str">
        <x:v>evidence_approved</x:v>
      </x:c>
      <x:c r="D210" s="6" t="str">
        <x:v>codex-evidence-review-v1</x:v>
      </x:c>
      <x:c r="E210" s="22" t="n">
        <x:v>46244.40206471065</x:v>
      </x:c>
      <x:c r="F210" s="6" t="str">
        <x:v>20</x:v>
      </x:c>
      <x:c r="G210" s="20" t="str">
        <x:v>observed_counterfactual;severe_failure;terminal</x:v>
      </x:c>
      <x:c r="H210" s="20" t="str">
        <x:v>browsergym/miniwob.choose-list</x:v>
      </x:c>
      <x:c r="I210" s="6" t="str">
        <x:v>browsergym/miniwob.choose-list</x:v>
      </x:c>
      <x:c r="J210" s="6" t="str">
        <x:v>cf-choose-list-seed1038-wrong_action_type</x:v>
      </x:c>
      <x:c r="K210" s="6" t="str">
        <x:v>0</x:v>
      </x:c>
      <x:c r="L210" s="20" t="str">
        <x:v>Select Senegal from the list and click Submit.</x:v>
      </x:c>
      <x:c r="M210" s="20" t="str">
        <x:v>click("18", "left")</x:v>
      </x:c>
      <x:c r="N210" s="6" t="str">
        <x:v>0.0</x:v>
      </x:c>
      <x:c r="O210" s="20" t="str">
        <x:v>file:///root/autodl-tmp/miniwob-plusplus/miniwob/html/miniwob/choose-list.html</x:v>
      </x:c>
      <x:c r="P210" s="20" t="str">
        <x:v>Choose List Task</x:v>
      </x:c>
      <x:c r="Q210" s="20" t="str">
        <x:v>RootWebArea 'Choose List Task', focused [13] combobox '' value='Kazakhstan', hasPopup='menu', expanded=False [18] button 'Submit', clickable</x:v>
      </x:c>
      <x:c r="R210" s="20" t="str">
        <x:v>file:///root/autodl-tmp/miniwob-plusplus/miniwob/html/miniwob/choose-list.html</x:v>
      </x:c>
      <x:c r="S210" s="20" t="str">
        <x:v>Choose List Task</x:v>
      </x:c>
      <x:c r="T210" s="20" t="str">
        <x:v>RootWebArea 'Choose List Task', focused [13] combobox '' value='Kazakhstan', hasPopup='menu', expanded=False [18] button 'Submit', clickable, focused</x:v>
      </x:c>
      <x:c r="U210" s="6" t="str">
        <x:v>0</x:v>
      </x:c>
      <x:c r="V210" s="6" t="str">
        <x:v>0</x:v>
      </x:c>
      <x:c r="W210" s="6" t="str">
        <x:v>0</x:v>
      </x:c>
      <x:c r="X210" s="6" t="str">
        <x:v>1</x:v>
      </x:c>
      <x:c r="Y210" s="6" t="str">
        <x:v>0</x:v>
      </x:c>
      <x:c r="Z210" s="6" t="str">
        <x:v>1</x:v>
      </x:c>
      <x:c r="AA210" s="6" t="str">
        <x:v>0.0</x:v>
      </x:c>
      <x:c r="AB210" s="20" t="str">
        <x:v>Codex证据复核v1：原始记录唯一匹配、环境实测、反事实配对ID完整、终止且非成功、奖励非正、队列标签与结果派生规则一致；非人工签字。</x:v>
      </x:c>
    </x:row>
    <x:row r="211" ht="46" customHeight="1">
      <x:c r="A211" s="6" t="str">
        <x:v>1</x:v>
      </x:c>
      <x:c r="B211" s="6" t="str">
        <x:v>55a912c234c72c73d480</x:v>
      </x:c>
      <x:c r="C211" s="6" t="str">
        <x:v>evidence_approved</x:v>
      </x:c>
      <x:c r="D211" s="6" t="str">
        <x:v>codex-evidence-review-v1</x:v>
      </x:c>
      <x:c r="E211" s="22" t="n">
        <x:v>46244.40206471065</x:v>
      </x:c>
      <x:c r="F211" s="6" t="str">
        <x:v>20</x:v>
      </x:c>
      <x:c r="G211" s="20" t="str">
        <x:v>observed_counterfactual;severe_failure;terminal</x:v>
      </x:c>
      <x:c r="H211" s="20" t="str">
        <x:v>browsergym/miniwob.enter-text</x:v>
      </x:c>
      <x:c r="I211" s="6" t="str">
        <x:v>browsergym/miniwob.enter-text</x:v>
      </x:c>
      <x:c r="J211" s="6" t="str">
        <x:v>cf-enter-text-seed1039-hard_wrong_target</x:v>
      </x:c>
      <x:c r="K211" s="6" t="str">
        <x:v>0</x:v>
      </x:c>
      <x:c r="L211" s="20" t="str">
        <x:v>Enter "Marcella" into the text field and press Submit.</x:v>
      </x:c>
      <x:c r="M211" s="20" t="str">
        <x:v>click("15", "left")</x:v>
      </x:c>
      <x:c r="N211" s="6" t="str">
        <x:v>0.0</x:v>
      </x:c>
      <x:c r="O211" s="20" t="str">
        <x:v>file:///root/autodl-tmp/miniwob-plusplus/miniwob/html/miniwob/enter-text.html</x:v>
      </x:c>
      <x:c r="P211" s="20" t="str">
        <x:v>Enter Text Task</x:v>
      </x:c>
      <x:c r="Q211" s="20" t="str">
        <x:v>RootWebArea 'Enter Text Task', focused [14] textbox '', clickable [15] button 'Submit', clickable</x:v>
      </x:c>
      <x:c r="R211" s="20" t="str">
        <x:v>file:///root/autodl-tmp/miniwob-plusplus/miniwob/html/miniwob/enter-text.html</x:v>
      </x:c>
      <x:c r="S211" s="20" t="str">
        <x:v>Enter Text Task</x:v>
      </x:c>
      <x:c r="T211" s="20" t="str">
        <x:v>RootWebArea 'Enter Text Task', focused [14] textbox '', clickable [15] button 'Submit', clickable, focused</x:v>
      </x:c>
      <x:c r="U211" s="6" t="str">
        <x:v>0</x:v>
      </x:c>
      <x:c r="V211" s="6" t="str">
        <x:v>0</x:v>
      </x:c>
      <x:c r="W211" s="6" t="str">
        <x:v>0</x:v>
      </x:c>
      <x:c r="X211" s="6" t="str">
        <x:v>1</x:v>
      </x:c>
      <x:c r="Y211" s="6" t="str">
        <x:v>0</x:v>
      </x:c>
      <x:c r="Z211" s="6" t="str">
        <x:v>1</x:v>
      </x:c>
      <x:c r="AA211" s="6" t="str">
        <x:v>0.0</x:v>
      </x:c>
      <x:c r="AB211" s="20" t="str">
        <x:v>Codex证据复核v1：原始记录唯一匹配、环境实测、反事实配对ID完整、终止且非成功、奖励非正、队列标签与结果派生规则一致；非人工签字。</x:v>
      </x:c>
    </x:row>
    <x:row r="212" ht="46" customHeight="1">
      <x:c r="A212" s="6" t="str">
        <x:v>1</x:v>
      </x:c>
      <x:c r="B212" s="6" t="str">
        <x:v>ab3c94bae1e1d1e56b9a</x:v>
      </x:c>
      <x:c r="C212" s="6" t="str">
        <x:v>evidence_approved</x:v>
      </x:c>
      <x:c r="D212" s="6" t="str">
        <x:v>codex-evidence-review-v1</x:v>
      </x:c>
      <x:c r="E212" s="22" t="n">
        <x:v>46244.40206471065</x:v>
      </x:c>
      <x:c r="F212" s="6" t="str">
        <x:v>20</x:v>
      </x:c>
      <x:c r="G212" s="20" t="str">
        <x:v>observed_counterfactual;severe_failure;terminal</x:v>
      </x:c>
      <x:c r="H212" s="20" t="str">
        <x:v>browsergym/miniwob.click-widget</x:v>
      </x:c>
      <x:c r="I212" s="6" t="str">
        <x:v>browsergym/miniwob.click-widget</x:v>
      </x:c>
      <x:c r="J212" s="6" t="str">
        <x:v>cf-click-widget-seed1012-hard_wrong_target</x:v>
      </x:c>
      <x:c r="K212" s="6" t="str">
        <x:v>0</x:v>
      </x:c>
      <x:c r="L212" s="20" t="str">
        <x:v>Click on a "radio" widget.</x:v>
      </x:c>
      <x:c r="M212" s="20" t="str">
        <x:v>click("19", "left")</x:v>
      </x:c>
      <x:c r="N212" s="6" t="str">
        <x:v>0.0</x:v>
      </x:c>
      <x:c r="O212" s="20" t="str">
        <x:v>file:///root/autodl-tmp/miniwob-plusplus/miniwob/html/miniwob/click-widget.html</x:v>
      </x:c>
      <x:c r="P212" s="20" t="str">
        <x:v>Click Widget Task</x:v>
      </x:c>
      <x:c r="Q212" s="20" t="str">
        <x:v>RootWebArea 'Click Widget Task', focused [14] LabelText '', clickable [15] radio 'inYEp', clickable, checked='false' StaticText 'inYEp' [17] textbox '' value='T4A' StaticText 'T4A' [19] button 'mWa' [21] button 'Yn' [23] textbox '' value='xb' StaticText 'xb'</x:v>
      </x:c>
      <x:c r="R212" s="20" t="str">
        <x:v>file:///root/autodl-tmp/miniwob-plusplus/miniwob/html/miniwob/click-widget.html</x:v>
      </x:c>
      <x:c r="S212" s="20" t="str">
        <x:v>Click Widget Task</x:v>
      </x:c>
      <x:c r="T212" s="20" t="str">
        <x:v>RootWebArea 'Click Widget Task', focused [14] LabelText '', clickable [15] radio 'inYEp', clickable, checked='false' StaticText 'inYEp' [17] textbox '' value='T4A' StaticText 'T4A' [19] button 'mWa', focused [21] button 'Yn' [23] textbox '' value='xb' StaticText 'xb'</x:v>
      </x:c>
      <x:c r="U212" s="6" t="str">
        <x:v>0</x:v>
      </x:c>
      <x:c r="V212" s="6" t="str">
        <x:v>0</x:v>
      </x:c>
      <x:c r="W212" s="6" t="str">
        <x:v>0</x:v>
      </x:c>
      <x:c r="X212" s="6" t="str">
        <x:v>1</x:v>
      </x:c>
      <x:c r="Y212" s="6" t="str">
        <x:v>0</x:v>
      </x:c>
      <x:c r="Z212" s="6" t="str">
        <x:v>1</x:v>
      </x:c>
      <x:c r="AA212" s="6" t="str">
        <x:v>0.0</x:v>
      </x:c>
      <x:c r="AB212" s="20" t="str">
        <x:v>Codex证据复核v1：原始记录唯一匹配、环境实测、反事实配对ID完整、终止且非成功、奖励非正、队列标签与结果派生规则一致；非人工签字。</x:v>
      </x:c>
    </x:row>
    <x:row r="213" ht="46" customHeight="1">
      <x:c r="A213" s="6" t="str">
        <x:v>1</x:v>
      </x:c>
      <x:c r="B213" s="6" t="str">
        <x:v>877a48dbfb014fcf514e</x:v>
      </x:c>
      <x:c r="C213" s="6" t="str">
        <x:v>evidence_approved</x:v>
      </x:c>
      <x:c r="D213" s="6" t="str">
        <x:v>codex-evidence-review-v1</x:v>
      </x:c>
      <x:c r="E213" s="22" t="n">
        <x:v>46244.40206471065</x:v>
      </x:c>
      <x:c r="F213" s="6" t="str">
        <x:v>20</x:v>
      </x:c>
      <x:c r="G213" s="20" t="str">
        <x:v>observed_counterfactual;severe_failure;terminal</x:v>
      </x:c>
      <x:c r="H213" s="20" t="str">
        <x:v>browsergym/miniwob.click-menu</x:v>
      </x:c>
      <x:c r="I213" s="6" t="str">
        <x:v>browsergym/miniwob.click-menu</x:v>
      </x:c>
      <x:c r="J213" s="6" t="str">
        <x:v>cf-click-menu-seed1029-hard_wrong_target</x:v>
      </x:c>
      <x:c r="K213" s="6" t="str">
        <x:v>0</x:v>
      </x:c>
      <x:c r="L213" s="20" t="str">
        <x:v>Select Carlita&gt;Gates</x:v>
      </x:c>
      <x:c r="M213" s="20" t="str">
        <x:v>click("29", "left")</x:v>
      </x:c>
      <x:c r="N213" s="6" t="str">
        <x:v>0.0</x:v>
      </x:c>
      <x:c r="O213" s="20" t="str">
        <x:v>file:///root/autodl-tmp/miniwob-plusplus/miniwob/html/miniwob/click-menu.html</x:v>
      </x:c>
      <x:c r="P213" s="20" t="str">
        <x:v>Click Menu Task</x:v>
      </x:c>
      <x:c r="Q213" s="20" t="str">
        <x:v>RootWebArea 'Click Menu Task', focused [17] menu '', clickable, orientation='vertical' image '' [19] menuitem 'Donna' image '' [21] menuitem 'Carlita', hasPopup='menu' image '' [29] menuitem 'Sashenka'</x:v>
      </x:c>
      <x:c r="R213" s="20" t="str">
        <x:v>file:///root/autodl-tmp/miniwob-plusplus/miniwob/html/miniwob/click-menu.html</x:v>
      </x:c>
      <x:c r="S213" s="20" t="str">
        <x:v>Click Menu Task</x:v>
      </x:c>
      <x:c r="T213" s="20" t="str">
        <x:v>RootWebArea 'Click Menu Task', focused [17] menu '', clickable, orientation='vertical' image '' [19] menuitem 'Donna' image '' [21] menuitem 'Carlita', hasPopup='menu' image '' [29] menuitem 'Sashenka'</x:v>
      </x:c>
      <x:c r="U213" s="6" t="str">
        <x:v>0</x:v>
      </x:c>
      <x:c r="V213" s="6" t="str">
        <x:v>0</x:v>
      </x:c>
      <x:c r="W213" s="6" t="str">
        <x:v>0</x:v>
      </x:c>
      <x:c r="X213" s="6" t="str">
        <x:v>1</x:v>
      </x:c>
      <x:c r="Y213" s="6" t="str">
        <x:v>0</x:v>
      </x:c>
      <x:c r="Z213" s="6" t="str">
        <x:v>1</x:v>
      </x:c>
      <x:c r="AA213" s="6" t="str">
        <x:v>0.0</x:v>
      </x:c>
      <x:c r="AB213" s="20" t="str">
        <x:v>Codex证据复核v1：原始记录唯一匹配、环境实测、反事实配对ID完整、终止且非成功、奖励非正、队列标签与结果派生规则一致；非人工签字。</x:v>
      </x:c>
    </x:row>
    <x:row r="214" ht="46" customHeight="1">
      <x:c r="A214" s="6" t="str">
        <x:v>1</x:v>
      </x:c>
      <x:c r="B214" s="6" t="str">
        <x:v>84d8f4e95152c3a01412</x:v>
      </x:c>
      <x:c r="C214" s="6" t="str">
        <x:v>evidence_approved</x:v>
      </x:c>
      <x:c r="D214" s="6" t="str">
        <x:v>codex-evidence-review-v1</x:v>
      </x:c>
      <x:c r="E214" s="22" t="n">
        <x:v>46244.40206471065</x:v>
      </x:c>
      <x:c r="F214" s="6" t="str">
        <x:v>20</x:v>
      </x:c>
      <x:c r="G214" s="20" t="str">
        <x:v>observed_counterfactual;severe_failure;terminal</x:v>
      </x:c>
      <x:c r="H214" s="20" t="str">
        <x:v>browsergym/miniwob.choose-list</x:v>
      </x:c>
      <x:c r="I214" s="6" t="str">
        <x:v>browsergym/miniwob.choose-list</x:v>
      </x:c>
      <x:c r="J214" s="6" t="str">
        <x:v>cf-choose-list-seed1030-wrong_action_type</x:v>
      </x:c>
      <x:c r="K214" s="6" t="str">
        <x:v>0</x:v>
      </x:c>
      <x:c r="L214" s="20" t="str">
        <x:v>Select Joyann from the list and click Submit.</x:v>
      </x:c>
      <x:c r="M214" s="20" t="str">
        <x:v>click("19", "left")</x:v>
      </x:c>
      <x:c r="N214" s="6" t="str">
        <x:v>0.0</x:v>
      </x:c>
      <x:c r="O214" s="20" t="str">
        <x:v>file:///root/autodl-tmp/miniwob-plusplus/miniwob/html/miniwob/choose-list.html</x:v>
      </x:c>
      <x:c r="P214" s="20" t="str">
        <x:v>Choose List Task</x:v>
      </x:c>
      <x:c r="Q214" s="20" t="str">
        <x:v>RootWebArea 'Choose List Task', focused [13] combobox '' value='Tillie', hasPopup='menu', expanded=False [19] button 'Submit', clickable</x:v>
      </x:c>
      <x:c r="R214" s="20" t="str">
        <x:v>file:///root/autodl-tmp/miniwob-plusplus/miniwob/html/miniwob/choose-list.html</x:v>
      </x:c>
      <x:c r="S214" s="20" t="str">
        <x:v>Choose List Task</x:v>
      </x:c>
      <x:c r="T214" s="20" t="str">
        <x:v>RootWebArea 'Choose List Task', focused [13] combobox '' value='Tillie', hasPopup='menu', expanded=False [19] button 'Submit', clickable, focused</x:v>
      </x:c>
      <x:c r="U214" s="6" t="str">
        <x:v>0</x:v>
      </x:c>
      <x:c r="V214" s="6" t="str">
        <x:v>0</x:v>
      </x:c>
      <x:c r="W214" s="6" t="str">
        <x:v>0</x:v>
      </x:c>
      <x:c r="X214" s="6" t="str">
        <x:v>1</x:v>
      </x:c>
      <x:c r="Y214" s="6" t="str">
        <x:v>0</x:v>
      </x:c>
      <x:c r="Z214" s="6" t="str">
        <x:v>1</x:v>
      </x:c>
      <x:c r="AA214" s="6" t="str">
        <x:v>0.0</x:v>
      </x:c>
      <x:c r="AB214" s="20" t="str">
        <x:v>Codex证据复核v1：原始记录唯一匹配、环境实测、反事实配对ID完整、终止且非成功、奖励非正、队列标签与结果派生规则一致；非人工签字。</x:v>
      </x:c>
    </x:row>
    <x:row r="215" ht="46" customHeight="1">
      <x:c r="A215" s="6" t="str">
        <x:v>1</x:v>
      </x:c>
      <x:c r="B215" s="6" t="str">
        <x:v>a81bd9c93e7d16915777</x:v>
      </x:c>
      <x:c r="C215" s="6" t="str">
        <x:v>evidence_approved</x:v>
      </x:c>
      <x:c r="D215" s="6" t="str">
        <x:v>codex-evidence-review-v1</x:v>
      </x:c>
      <x:c r="E215" s="22" t="n">
        <x:v>46244.40206471065</x:v>
      </x:c>
      <x:c r="F215" s="6" t="str">
        <x:v>20</x:v>
      </x:c>
      <x:c r="G215" s="20" t="str">
        <x:v>observed_counterfactual;severe_failure;terminal</x:v>
      </x:c>
      <x:c r="H215" s="20" t="str">
        <x:v>browsergym/miniwob.click-collapsible</x:v>
      </x:c>
      <x:c r="I215" s="6" t="str">
        <x:v>browsergym/miniwob.click-collapsible</x:v>
      </x:c>
      <x:c r="J215" s="6" t="str">
        <x:v>cf-click-collapsible-seed1038-hard_wrong_target</x:v>
      </x:c>
      <x:c r="K215" s="6" t="str">
        <x:v>0</x:v>
      </x:c>
      <x:c r="L215" s="20" t="str">
        <x:v>Expand the section below and click submit.</x:v>
      </x:c>
      <x:c r="M215" s="20" t="str">
        <x:v>click("19", "left")</x:v>
      </x:c>
      <x:c r="N215" s="6" t="str">
        <x:v>0.0</x:v>
      </x:c>
      <x:c r="O215" s="20" t="str">
        <x:v>file:///root/autodl-tmp/miniwob-plusplus/miniwob/html/miniwob/click-collapsible.html</x:v>
      </x:c>
      <x:c r="P215" s="20" t="str">
        <x:v>Click Collapsible Task</x:v>
      </x:c>
      <x:c r="Q215" s="20" t="str">
        <x:v>RootWebArea 'Click Collapsible Task', focused [15] tablist '', multiselectable=False, orientation='horizontal' [16] tab 'Section #37', clickable, expanded=False, selected=False, controls='ui-id-2' [19] tab 'Submit', clickable, expanded=False, selected=False [22] button 'Submit', clickable</x:v>
      </x:c>
      <x:c r="R215" s="20" t="str">
        <x:v>file:///root/autodl-tmp/miniwob-plusplus/miniwob/html/miniwob/click-collapsible.html</x:v>
      </x:c>
      <x:c r="S215" s="20" t="str">
        <x:v>Click Collapsible Task</x:v>
      </x:c>
      <x:c r="T215" s="20" t="str">
        <x:v>RootWebArea 'Click Collapsible Task', focused [15] tablist '', multiselectable=False, orientation='horizontal' [16] tab 'Section #37', clickable, expanded=False, selected=False, controls='ui-id-2' [19] tab 'Submit', clickable, expanded=False, selected=False [22] button 'Submit', clickable, focused</x:v>
      </x:c>
      <x:c r="U215" s="6" t="str">
        <x:v>0</x:v>
      </x:c>
      <x:c r="V215" s="6" t="str">
        <x:v>0</x:v>
      </x:c>
      <x:c r="W215" s="6" t="str">
        <x:v>0</x:v>
      </x:c>
      <x:c r="X215" s="6" t="str">
        <x:v>1</x:v>
      </x:c>
      <x:c r="Y215" s="6" t="str">
        <x:v>0</x:v>
      </x:c>
      <x:c r="Z215" s="6" t="str">
        <x:v>1</x:v>
      </x:c>
      <x:c r="AA215" s="6" t="str">
        <x:v>0.0</x:v>
      </x:c>
      <x:c r="AB215" s="20" t="str">
        <x:v>Codex证据复核v1：原始记录唯一匹配、环境实测、反事实配对ID完整、终止且非成功、奖励非正、队列标签与结果派生规则一致；非人工签字。</x:v>
      </x:c>
    </x:row>
    <x:row r="216" ht="46" customHeight="1">
      <x:c r="A216" s="6" t="str">
        <x:v>1</x:v>
      </x:c>
      <x:c r="B216" s="6" t="str">
        <x:v>081a5bc5d4adc5f80c58</x:v>
      </x:c>
      <x:c r="C216" s="6" t="str">
        <x:v>evidence_approved</x:v>
      </x:c>
      <x:c r="D216" s="6" t="str">
        <x:v>codex-evidence-review-v1</x:v>
      </x:c>
      <x:c r="E216" s="22" t="n">
        <x:v>46244.40206471065</x:v>
      </x:c>
      <x:c r="F216" s="6" t="str">
        <x:v>20</x:v>
      </x:c>
      <x:c r="G216" s="20" t="str">
        <x:v>observed_counterfactual;severe_failure;terminal</x:v>
      </x:c>
      <x:c r="H216" s="20" t="str">
        <x:v>browsergym/miniwob.scroll-text</x:v>
      </x:c>
      <x:c r="I216" s="6" t="str">
        <x:v>browsergym/miniwob.scroll-text</x:v>
      </x:c>
      <x:c r="J216" s="6" t="str">
        <x:v>cf-scroll-text-seed1001-hard_wrong_target</x:v>
      </x:c>
      <x:c r="K216" s="6" t="str">
        <x:v>0</x:v>
      </x:c>
      <x:c r="L216" s="20" t="str">
        <x:v>Find the last word in the text area, enter it into the text field and hit Submit.</x:v>
      </x:c>
      <x:c r="M216" s="20" t="str">
        <x:v>click("15", "left")</x:v>
      </x:c>
      <x:c r="N216" s="6" t="str">
        <x:v>0.0</x:v>
      </x:c>
      <x:c r="O216" s="20" t="str">
        <x:v>file:///root/autodl-tmp/miniwob-plusplus/miniwob/html/miniwob/scroll-text.html</x:v>
      </x:c>
      <x:c r="P216" s="20" t="str">
        <x:v>Scroll Text Task</x:v>
      </x:c>
      <x:c r="Q216" s="20" t="str">
        <x:v>RootWebArea 'Scroll Text Task', focused [13] textbox '' value='Fermentum lobortis duis laoreet urna diam at viverra. Sem. Nec, lacus id enim. Fusce. Turpis non, lacus convallis risus. Lectus magna mattis vitae platea. Diam arcu diam justo tellus sagittis, phasellus felis eget. Faucibus ac lacinia vitae enim ac, et. Adipiscing donec sit. Aliquam cursus arcu et sit vitae sit imperdiet et aliquet consectetur massa scelerisque ultricies. Elit lobortis ante elementum dolor, euismod malesuada amet et. Orci mauris amet diam malesuada nunc aliquam. Felis ac, aliquet ultricies eu a feugiat aliquam consectetur a accumsan vel pretium ipsum … StaticText 'Fermentum lobortis duis laoreet urna diam at viverra. Sem. Nec, lacus id enim. Fusce. Turpis non, lacus convallis risus. Lectus magna mattis vitae platea. Diam arcu diam justo tellus sagittis, phasellus felis eget. Faucibus ac lacinia vitae enim ac…</x:v>
      </x:c>
      <x:c r="R216" s="20" t="str">
        <x:v>file:///root/autodl-tmp/miniwob-plusplus/miniwob/html/miniwob/scroll-text.html</x:v>
      </x:c>
      <x:c r="S216" s="20" t="str">
        <x:v>Scroll Text Task</x:v>
      </x:c>
      <x:c r="T216" s="20" t="str">
        <x:v>RootWebArea 'Scroll Text Task', focused [13] textbox '' value='Fermentum lobortis duis laoreet urna diam at viverra. Sem. Nec, lacus id enim. Fusce. Turpis non, lacus convallis risus. Lectus magna mattis vitae platea. Diam arcu diam justo tellus sagittis, phasellus felis eget. Faucibus ac lacinia vitae enim ac, et. Adipiscing donec sit. Aliquam cursus arcu et sit vitae sit imperdiet et aliquet consectetur massa scelerisque ultricies. Elit lobortis ante elementum dolor, euismod malesuada amet et. Orci mauris amet diam malesuada nunc aliquam. Felis ac, aliquet ultricies eu a feugiat aliquam consectetur a accumsan vel pretium ipsum … StaticText 'Fermentum lobortis duis laoreet urna diam at viverra. Sem. Nec, lacus id enim. Fusce. Turpis non, lacus convallis risus. Lectus magna mattis vitae platea. Diam arcu diam justo tellus sagittis, phasellus felis eget. Faucibus ac lacinia vitae enim ac…</x:v>
      </x:c>
      <x:c r="U216" s="6" t="str">
        <x:v>0</x:v>
      </x:c>
      <x:c r="V216" s="6" t="str">
        <x:v>0</x:v>
      </x:c>
      <x:c r="W216" s="6" t="str">
        <x:v>0</x:v>
      </x:c>
      <x:c r="X216" s="6" t="str">
        <x:v>1</x:v>
      </x:c>
      <x:c r="Y216" s="6" t="str">
        <x:v>0</x:v>
      </x:c>
      <x:c r="Z216" s="6" t="str">
        <x:v>1</x:v>
      </x:c>
      <x:c r="AA216" s="6" t="str">
        <x:v>0.0</x:v>
      </x:c>
      <x:c r="AB216" s="20" t="str">
        <x:v>Codex证据复核v1：原始记录唯一匹配、环境实测、反事实配对ID完整、终止且非成功、奖励非正、队列标签与结果派生规则一致；非人工签字。</x:v>
      </x:c>
    </x:row>
    <x:row r="217" ht="46" customHeight="1">
      <x:c r="A217" s="6" t="str">
        <x:v>1</x:v>
      </x:c>
      <x:c r="B217" s="6" t="str">
        <x:v>275d9be47b6551b97eb2</x:v>
      </x:c>
      <x:c r="C217" s="6" t="str">
        <x:v>evidence_approved</x:v>
      </x:c>
      <x:c r="D217" s="6" t="str">
        <x:v>codex-evidence-review-v1</x:v>
      </x:c>
      <x:c r="E217" s="22" t="n">
        <x:v>46244.40206471065</x:v>
      </x:c>
      <x:c r="F217" s="6" t="str">
        <x:v>20</x:v>
      </x:c>
      <x:c r="G217" s="20" t="str">
        <x:v>observed_counterfactual;severe_failure;terminal</x:v>
      </x:c>
      <x:c r="H217" s="20" t="str">
        <x:v>browsergym/miniwob.click-dialog-2</x:v>
      </x:c>
      <x:c r="I217" s="6" t="str">
        <x:v>browsergym/miniwob.click-dialog-2</x:v>
      </x:c>
      <x:c r="J217" s="6" t="str">
        <x:v>cf-click-dialog-2-seed1037-wrong_action_type</x:v>
      </x:c>
      <x:c r="K217" s="6" t="str">
        <x:v>0</x:v>
      </x:c>
      <x:c r="L217" s="20" t="str">
        <x:v>Click the button in the dialog box labeled "x".</x:v>
      </x:c>
      <x:c r="M217" s="20" t="str">
        <x:v>click("28", "left")</x:v>
      </x:c>
      <x:c r="N217" s="6" t="str">
        <x:v>0.0</x:v>
      </x:c>
      <x:c r="O217" s="20" t="str">
        <x:v>file:///root/autodl-tmp/miniwob-plusplus/miniwob/html/miniwob/click-dialog-2.html</x:v>
      </x:c>
      <x:c r="P217" s="20" t="str">
        <x:v>Click Dialog Task</x:v>
      </x:c>
      <x:c r="Q217" s="20" t="str">
        <x:v>RootWebArea 'Click Dialog Task', focused [17] dialog '', clickable, modal=False, describedby='dialog' StaticText '' [20] button 'Close', clickable [24] paragraph '' StaticText 'Proin massa. Pellentesque consequat, nulla.' [27] button 'Cancel', clickable, focused [28] button 'OK', clickable</x:v>
      </x:c>
      <x:c r="R217" s="20" t="str">
        <x:v>file:///root/autodl-tmp/miniwob-plusplus/miniwob/html/miniwob/click-dialog-2.html</x:v>
      </x:c>
      <x:c r="S217" s="20" t="str">
        <x:v>Click Dialog Task</x:v>
      </x:c>
      <x:c r="T217" s="20" t="str">
        <x:v>RootWebArea 'Click Dialog Task', focused [17] dialog '', clickable, modal=False, describedby='dialog' StaticText '' [20] button 'Close', clickable [24] paragraph '' StaticText 'Proin massa. Pellentesque consequat, nulla.' [27] button 'Cancel', clickable [28] button 'OK', clickable, focused</x:v>
      </x:c>
      <x:c r="U217" s="6" t="str">
        <x:v>0</x:v>
      </x:c>
      <x:c r="V217" s="6" t="str">
        <x:v>0</x:v>
      </x:c>
      <x:c r="W217" s="6" t="str">
        <x:v>0</x:v>
      </x:c>
      <x:c r="X217" s="6" t="str">
        <x:v>1</x:v>
      </x:c>
      <x:c r="Y217" s="6" t="str">
        <x:v>0</x:v>
      </x:c>
      <x:c r="Z217" s="6" t="str">
        <x:v>1</x:v>
      </x:c>
      <x:c r="AA217" s="6" t="str">
        <x:v>0.0</x:v>
      </x:c>
      <x:c r="AB217" s="20" t="str">
        <x:v>Codex证据复核v1：原始记录唯一匹配、环境实测、反事实配对ID完整、终止且非成功、奖励非正、队列标签与结果派生规则一致；非人工签字。</x:v>
      </x:c>
    </x:row>
    <x:row r="218" ht="46" customHeight="1">
      <x:c r="A218" s="6" t="str">
        <x:v>1</x:v>
      </x:c>
      <x:c r="B218" s="6" t="str">
        <x:v>ab958219ecf728b6bcf3</x:v>
      </x:c>
      <x:c r="C218" s="6" t="str">
        <x:v>evidence_approved</x:v>
      </x:c>
      <x:c r="D218" s="6" t="str">
        <x:v>codex-evidence-review-v1</x:v>
      </x:c>
      <x:c r="E218" s="22" t="n">
        <x:v>46244.40206471065</x:v>
      </x:c>
      <x:c r="F218" s="6" t="str">
        <x:v>20</x:v>
      </x:c>
      <x:c r="G218" s="20" t="str">
        <x:v>observed_counterfactual;severe_failure;terminal</x:v>
      </x:c>
      <x:c r="H218" s="20" t="str">
        <x:v>browsergym/miniwob.scroll-text</x:v>
      </x:c>
      <x:c r="I218" s="6" t="str">
        <x:v>browsergym/miniwob.scroll-text</x:v>
      </x:c>
      <x:c r="J218" s="6" t="str">
        <x:v>cf-scroll-text-seed1021-hard_wrong_target</x:v>
      </x:c>
      <x:c r="K218" s="6" t="str">
        <x:v>0</x:v>
      </x:c>
      <x:c r="L218" s="20" t="str">
        <x:v>Find the last word in the text area, enter it into the text field and hit Submit.</x:v>
      </x:c>
      <x:c r="M218" s="20" t="str">
        <x:v>click("15", "left")</x:v>
      </x:c>
      <x:c r="N218" s="6" t="str">
        <x:v>0.0</x:v>
      </x:c>
      <x:c r="O218" s="20" t="str">
        <x:v>file:///root/autodl-tmp/miniwob-plusplus/miniwob/html/miniwob/scroll-text.html</x:v>
      </x:c>
      <x:c r="P218" s="20" t="str">
        <x:v>Scroll Text Task</x:v>
      </x:c>
      <x:c r="Q218" s="20" t="str">
        <x:v>RootWebArea 'Scroll Text Task', focused [13] textbox '' value='Dolor mattis lorem molestie malesuada pulvinar nec sagittis volutpat bibendum fermentum euismod scelerisque. Aliquet. Aenean. In sed erat parturient libero. Egestas consectetur. Tincidunt etiam sit. Eget proin volutpat.' StaticText 'Dolor mattis lorem molestie malesuada pulvinar nec sagittis volutpat bibendum fermentum euismod scelerisque. Aliquet. Aenean. In sed erat parturient libero. Egestas consectetur. Tincidunt etiam sit. Eget proin volutpat.' [14] textbox '', clickable [15] button 'Submit', clickable</x:v>
      </x:c>
      <x:c r="R218" s="20" t="str">
        <x:v>file:///root/autodl-tmp/miniwob-plusplus/miniwob/html/miniwob/scroll-text.html</x:v>
      </x:c>
      <x:c r="S218" s="20" t="str">
        <x:v>Scroll Text Task</x:v>
      </x:c>
      <x:c r="T218" s="20" t="str">
        <x:v>RootWebArea 'Scroll Text Task', focused [13] textbox '' value='Dolor mattis lorem molestie malesuada pulvinar nec sagittis volutpat bibendum fermentum euismod scelerisque. Aliquet. Aenean. In sed erat parturient libero. Egestas consectetur. Tincidunt etiam sit. Eget proin volutpat.' StaticText 'Dolor mattis lorem molestie malesuada pulvinar nec sagittis volutpat bibendum fermentum euismod scelerisque. Aliquet. Aenean. In sed erat parturient libero. Egestas consectetur. Tincidunt etiam sit. Eget proin volutpat.' [14] textbox '', clickable [15] button 'Submit', clickable, focused</x:v>
      </x:c>
      <x:c r="U218" s="6" t="str">
        <x:v>0</x:v>
      </x:c>
      <x:c r="V218" s="6" t="str">
        <x:v>0</x:v>
      </x:c>
      <x:c r="W218" s="6" t="str">
        <x:v>0</x:v>
      </x:c>
      <x:c r="X218" s="6" t="str">
        <x:v>1</x:v>
      </x:c>
      <x:c r="Y218" s="6" t="str">
        <x:v>0</x:v>
      </x:c>
      <x:c r="Z218" s="6" t="str">
        <x:v>1</x:v>
      </x:c>
      <x:c r="AA218" s="6" t="str">
        <x:v>0.0</x:v>
      </x:c>
      <x:c r="AB218" s="20" t="str">
        <x:v>Codex证据复核v1：原始记录唯一匹配、环境实测、反事实配对ID完整、终止且非成功、奖励非正、队列标签与结果派生规则一致；非人工签字。</x:v>
      </x:c>
    </x:row>
    <x:row r="219" ht="46" customHeight="1">
      <x:c r="A219" s="6" t="str">
        <x:v>1</x:v>
      </x:c>
      <x:c r="B219" s="6" t="str">
        <x:v>05711d7c35c62e89fe2f</x:v>
      </x:c>
      <x:c r="C219" s="6" t="str">
        <x:v>evidence_approved</x:v>
      </x:c>
      <x:c r="D219" s="6" t="str">
        <x:v>codex-evidence-review-v1</x:v>
      </x:c>
      <x:c r="E219" s="22" t="n">
        <x:v>46244.40206471065</x:v>
      </x:c>
      <x:c r="F219" s="6" t="str">
        <x:v>20</x:v>
      </x:c>
      <x:c r="G219" s="20" t="str">
        <x:v>observed_counterfactual;severe_failure;terminal</x:v>
      </x:c>
      <x:c r="H219" s="20" t="str">
        <x:v>browsergym/miniwob.click-widget</x:v>
      </x:c>
      <x:c r="I219" s="6" t="str">
        <x:v>browsergym/miniwob.click-widget</x:v>
      </x:c>
      <x:c r="J219" s="6" t="str">
        <x:v>cf-click-widget-seed1010-wrong_action_type</x:v>
      </x:c>
      <x:c r="K219" s="6" t="str">
        <x:v>0</x:v>
      </x:c>
      <x:c r="L219" s="20" t="str">
        <x:v>Click on a "textarea" widget.</x:v>
      </x:c>
      <x:c r="M219" s="20" t="str">
        <x:v>click("24", "left")</x:v>
      </x:c>
      <x:c r="N219" s="6" t="str">
        <x:v>0.0</x:v>
      </x:c>
      <x:c r="O219" s="20" t="str">
        <x:v>file:///root/autodl-tmp/miniwob-plusplus/miniwob/html/miniwob/click-widget.html</x:v>
      </x:c>
      <x:c r="P219" s="20" t="str">
        <x:v>Click Widget Task</x:v>
      </x:c>
      <x:c r="Q219"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x:v>
      </x:c>
      <x:c r="R219" s="20" t="str">
        <x:v>file:///root/autodl-tmp/miniwob-plusplus/miniwob/html/miniwob/click-widget.html</x:v>
      </x:c>
      <x:c r="S219" s="20" t="str">
        <x:v>Click Widget Task</x:v>
      </x:c>
      <x:c r="T219" s="20" t="str">
        <x:v>RootWebArea 'Click Widget Task', focused [14] textbox '' value='7p' StaticText '7p' [16] LabelText '', clickable [17] radio 'ZAat', clickable, checked='false' StaticText 'ZAat' [19] LabelText '', clickable [20] checkbox 'UOT', clickable, checked='false' StaticText 'UOT' [22] textbox '' value='OmS' StaticText 'OmS' [24] button 'H', focused</x:v>
      </x:c>
      <x:c r="U219" s="6" t="str">
        <x:v>0</x:v>
      </x:c>
      <x:c r="V219" s="6" t="str">
        <x:v>0</x:v>
      </x:c>
      <x:c r="W219" s="6" t="str">
        <x:v>0</x:v>
      </x:c>
      <x:c r="X219" s="6" t="str">
        <x:v>1</x:v>
      </x:c>
      <x:c r="Y219" s="6" t="str">
        <x:v>0</x:v>
      </x:c>
      <x:c r="Z219" s="6" t="str">
        <x:v>1</x:v>
      </x:c>
      <x:c r="AA219" s="6" t="str">
        <x:v>0.0</x:v>
      </x:c>
      <x:c r="AB219" s="20" t="str">
        <x:v>Codex证据复核v1：原始记录唯一匹配、环境实测、反事实配对ID完整、终止且非成功、奖励非正、队列标签与结果派生规则一致；非人工签字。</x:v>
      </x:c>
    </x:row>
    <x:row r="220" ht="46" customHeight="1">
      <x:c r="A220" s="6" t="str">
        <x:v>1</x:v>
      </x:c>
      <x:c r="B220" s="6" t="str">
        <x:v>31093f93ed892bb6bfeb</x:v>
      </x:c>
      <x:c r="C220" s="6" t="str">
        <x:v>evidence_approved</x:v>
      </x:c>
      <x:c r="D220" s="6" t="str">
        <x:v>codex-evidence-review-v1</x:v>
      </x:c>
      <x:c r="E220" s="22" t="n">
        <x:v>46244.40206471065</x:v>
      </x:c>
      <x:c r="F220" s="6" t="str">
        <x:v>20</x:v>
      </x:c>
      <x:c r="G220" s="20" t="str">
        <x:v>observed_counterfactual;severe_failure;terminal</x:v>
      </x:c>
      <x:c r="H220" s="20" t="str">
        <x:v>browsergym/miniwob.choose-list</x:v>
      </x:c>
      <x:c r="I220" s="6" t="str">
        <x:v>browsergym/miniwob.choose-list</x:v>
      </x:c>
      <x:c r="J220" s="6" t="str">
        <x:v>cf-choose-list-seed1020-wrong_action_type</x:v>
      </x:c>
      <x:c r="K220" s="6" t="str">
        <x:v>0</x:v>
      </x:c>
      <x:c r="L220" s="20" t="str">
        <x:v>Select Tallulah from the list and click Submit.</x:v>
      </x:c>
      <x:c r="M220" s="20" t="str">
        <x:v>click("18", "left")</x:v>
      </x:c>
      <x:c r="N220" s="6" t="str">
        <x:v>0.0</x:v>
      </x:c>
      <x:c r="O220" s="20" t="str">
        <x:v>file:///root/autodl-tmp/miniwob-plusplus/miniwob/html/miniwob/choose-list.html</x:v>
      </x:c>
      <x:c r="P220" s="20" t="str">
        <x:v>Choose List Task</x:v>
      </x:c>
      <x:c r="Q220" s="20" t="str">
        <x:v>RootWebArea 'Choose List Task', focused [13] combobox '' value='Florette', hasPopup='menu', expanded=False [18] button 'Submit', clickable</x:v>
      </x:c>
      <x:c r="R220" s="20" t="str">
        <x:v>file:///root/autodl-tmp/miniwob-plusplus/miniwob/html/miniwob/choose-list.html</x:v>
      </x:c>
      <x:c r="S220" s="20" t="str">
        <x:v>Choose List Task</x:v>
      </x:c>
      <x:c r="T220" s="20" t="str">
        <x:v>RootWebArea 'Choose List Task', focused [13] combobox '' value='Florette', hasPopup='menu', expanded=False [18] button 'Submit', clickable, focused</x:v>
      </x:c>
      <x:c r="U220" s="6" t="str">
        <x:v>0</x:v>
      </x:c>
      <x:c r="V220" s="6" t="str">
        <x:v>0</x:v>
      </x:c>
      <x:c r="W220" s="6" t="str">
        <x:v>0</x:v>
      </x:c>
      <x:c r="X220" s="6" t="str">
        <x:v>1</x:v>
      </x:c>
      <x:c r="Y220" s="6" t="str">
        <x:v>0</x:v>
      </x:c>
      <x:c r="Z220" s="6" t="str">
        <x:v>1</x:v>
      </x:c>
      <x:c r="AA220" s="6" t="str">
        <x:v>0.0</x:v>
      </x:c>
      <x:c r="AB220" s="20" t="str">
        <x:v>Codex证据复核v1：原始记录唯一匹配、环境实测、反事实配对ID完整、终止且非成功、奖励非正、队列标签与结果派生规则一致；非人工签字。</x:v>
      </x:c>
    </x:row>
    <x:row r="221" ht="46" customHeight="1">
      <x:c r="A221" s="6" t="str">
        <x:v>1</x:v>
      </x:c>
      <x:c r="B221" s="6" t="str">
        <x:v>7b5ca14a46bc2c26365a</x:v>
      </x:c>
      <x:c r="C221" s="6" t="str">
        <x:v>evidence_approved</x:v>
      </x:c>
      <x:c r="D221" s="6" t="str">
        <x:v>codex-evidence-review-v1</x:v>
      </x:c>
      <x:c r="E221" s="22" t="n">
        <x:v>46244.40206471065</x:v>
      </x:c>
      <x:c r="F221" s="6" t="str">
        <x:v>20</x:v>
      </x:c>
      <x:c r="G221" s="20" t="str">
        <x:v>observed_counterfactual;severe_failure;terminal</x:v>
      </x:c>
      <x:c r="H221" s="20" t="str">
        <x:v>browsergym/miniwob.enter-text-2</x:v>
      </x:c>
      <x:c r="I221" s="6" t="str">
        <x:v>browsergym/miniwob.enter-text-2</x:v>
      </x:c>
      <x:c r="J221" s="6" t="str">
        <x:v>cf-enter-text-2-seed1013-hard_wrong_target</x:v>
      </x:c>
      <x:c r="K221" s="6" t="str">
        <x:v>0</x:v>
      </x:c>
      <x:c r="L221" s="20" t="str">
        <x:v>Type "beaulah" in all upper case letters in the text input and press Submit.</x:v>
      </x:c>
      <x:c r="M221" s="20" t="str">
        <x:v>click("15", "left")</x:v>
      </x:c>
      <x:c r="N221" s="6" t="str">
        <x:v>0.0</x:v>
      </x:c>
      <x:c r="O221" s="20" t="str">
        <x:v>file:///root/autodl-tmp/miniwob-plusplus/miniwob/html/miniwob/enter-text-2.html</x:v>
      </x:c>
      <x:c r="P221" s="20" t="str">
        <x:v>Enter Text Task</x:v>
      </x:c>
      <x:c r="Q221" s="20" t="str">
        <x:v>RootWebArea 'Enter Text Task', focused [14] textbox '', clickable [15] button 'Submit', clickable</x:v>
      </x:c>
      <x:c r="R221" s="20" t="str">
        <x:v>file:///root/autodl-tmp/miniwob-plusplus/miniwob/html/miniwob/enter-text-2.html</x:v>
      </x:c>
      <x:c r="S221" s="20" t="str">
        <x:v>Enter Text Task</x:v>
      </x:c>
      <x:c r="T221" s="20" t="str">
        <x:v>RootWebArea 'Enter Text Task', focused [14] textbox '', clickable [15] button 'Submit', clickable, focused</x:v>
      </x:c>
      <x:c r="U221" s="6" t="str">
        <x:v>0</x:v>
      </x:c>
      <x:c r="V221" s="6" t="str">
        <x:v>0</x:v>
      </x:c>
      <x:c r="W221" s="6" t="str">
        <x:v>0</x:v>
      </x:c>
      <x:c r="X221" s="6" t="str">
        <x:v>1</x:v>
      </x:c>
      <x:c r="Y221" s="6" t="str">
        <x:v>0</x:v>
      </x:c>
      <x:c r="Z221" s="6" t="str">
        <x:v>1</x:v>
      </x:c>
      <x:c r="AA221" s="6" t="str">
        <x:v>0.0</x:v>
      </x:c>
      <x:c r="AB221" s="20" t="str">
        <x:v>Codex证据复核v1：原始记录唯一匹配、环境实测、反事实配对ID完整、终止且非成功、奖励非正、队列标签与结果派生规则一致；非人工签字。</x:v>
      </x:c>
    </x:row>
    <x:row r="222" ht="46" customHeight="1">
      <x:c r="A222" s="6" t="str">
        <x:v>1</x:v>
      </x:c>
      <x:c r="B222" s="6" t="str">
        <x:v>76ec4d0227b274b8b6ae</x:v>
      </x:c>
      <x:c r="C222" s="6" t="str">
        <x:v>evidence_approved</x:v>
      </x:c>
      <x:c r="D222" s="6" t="str">
        <x:v>codex-evidence-review-v1</x:v>
      </x:c>
      <x:c r="E222" s="22" t="n">
        <x:v>46244.40206471065</x:v>
      </x:c>
      <x:c r="F222" s="6" t="str">
        <x:v>20</x:v>
      </x:c>
      <x:c r="G222" s="20" t="str">
        <x:v>observed_counterfactual;severe_failure;terminal</x:v>
      </x:c>
      <x:c r="H222" s="20" t="str">
        <x:v>browsergym/miniwob.scroll-text-2</x:v>
      </x:c>
      <x:c r="I222" s="6" t="str">
        <x:v>browsergym/miniwob.scroll-text-2</x:v>
      </x:c>
      <x:c r="J222" s="6" t="str">
        <x:v>cf-scroll-text-2-seed1032-hard_wrong_target</x:v>
      </x:c>
      <x:c r="K222" s="6" t="str">
        <x:v>0</x:v>
      </x:c>
      <x:c r="L222" s="20" t="str">
        <x:v>Scroll the textarea to the bottom of the text hit submit.</x:v>
      </x:c>
      <x:c r="M222" s="20" t="str">
        <x:v>click("14", "left")</x:v>
      </x:c>
      <x:c r="N222" s="6" t="str">
        <x:v>0.0</x:v>
      </x:c>
      <x:c r="O222" s="20" t="str">
        <x:v>file:///root/autodl-tmp/miniwob-plusplus/miniwob/html/miniwob/scroll-text-2.html</x:v>
      </x:c>
      <x:c r="P222" s="20" t="str">
        <x:v>Scroll Text Task</x:v>
      </x:c>
      <x:c r="Q222" s="20" t="str">
        <x:v>RootWebArea 'Scroll Text Task', focused [13] textbox '' value='Leo. Vitae porttitor non. In mauris ut. Eu maecenas iaculis platea nisl condimentum. Ut sed fusce metus, proin mauris aenean vulputate sapien. Amet varius aliquam tortor. Donec quam nulla. Maecenas. Est, eu sed. Aenean. Nunc,. Viverra netus. Et. Amet, mi at sagittis purus. Ultrices ut felis. Eget cursus non mauris massa, imperdiet. Accumsan lobortis. Semper non molestie a porttitor non tellus donec lacinia amet gravida malesuada rhoncus nulla aliquam neque sollicitudin. Pretium. Cursus fringilla. Vitae sit ultrices neque. Sapien dignissim amet, consequat, velit accums… StaticText 'Leo. Vitae porttitor non. In mauris ut. Eu maecenas iaculis platea nisl condimentum. Ut sed fusce metus, proin mauris aenean vulputate sapien. Amet varius aliquam tortor. Donec quam nulla. Maecenas. Est, eu sed. Aenean. Nunc,. Viverra netus. Et. Am…</x:v>
      </x:c>
      <x:c r="R222" s="20" t="str">
        <x:v>file:///root/autodl-tmp/miniwob-plusplus/miniwob/html/miniwob/scroll-text-2.html</x:v>
      </x:c>
      <x:c r="S222" s="20" t="str">
        <x:v>Scroll Text Task</x:v>
      </x:c>
      <x:c r="T222" s="20" t="str">
        <x:v>RootWebArea 'Scroll Text Task', focused [13] textbox '' value='Leo. Vitae porttitor non. In mauris ut. Eu maecenas iaculis platea nisl condimentum. Ut sed fusce metus, proin mauris aenean vulputate sapien. Amet varius aliquam tortor. Donec quam nulla. Maecenas. Est, eu sed. Aenean. Nunc,. Viverra netus. Et. Amet, mi at sagittis purus. Ultrices ut felis. Eget cursus non mauris massa, imperdiet. Accumsan lobortis. Semper non molestie a porttitor non tellus donec lacinia amet gravida malesuada rhoncus nulla aliquam neque sollicitudin. Pretium. Cursus fringilla. Vitae sit ultrices neque. Sapien dignissim amet, consequat, velit accums… StaticText 'Leo. Vitae porttitor non. In mauris ut. Eu maecenas iaculis platea nisl condimentum. Ut sed fusce metus, proin mauris aenean vulputate sapien. Amet varius aliquam tortor. Donec quam nulla. Maecenas. Est, eu sed. Aenean. Nunc,. Viverra netus. Et. Am…</x:v>
      </x:c>
      <x:c r="U222" s="6" t="str">
        <x:v>0</x:v>
      </x:c>
      <x:c r="V222" s="6" t="str">
        <x:v>0</x:v>
      </x:c>
      <x:c r="W222" s="6" t="str">
        <x:v>0</x:v>
      </x:c>
      <x:c r="X222" s="6" t="str">
        <x:v>1</x:v>
      </x:c>
      <x:c r="Y222" s="6" t="str">
        <x:v>0</x:v>
      </x:c>
      <x:c r="Z222" s="6" t="str">
        <x:v>1</x:v>
      </x:c>
      <x:c r="AA222" s="6" t="str">
        <x:v>0.0</x:v>
      </x:c>
      <x:c r="AB222" s="20" t="str">
        <x:v>Codex证据复核v1：原始记录唯一匹配、环境实测、反事实配对ID完整、终止且非成功、奖励非正、队列标签与结果派生规则一致；非人工签字。</x:v>
      </x:c>
    </x:row>
    <x:row r="223" ht="46" customHeight="1">
      <x:c r="A223" s="6" t="str">
        <x:v>1</x:v>
      </x:c>
      <x:c r="B223" s="6" t="str">
        <x:v>d871afb50f7d91769888</x:v>
      </x:c>
      <x:c r="C223" s="6" t="str">
        <x:v>evidence_approved</x:v>
      </x:c>
      <x:c r="D223" s="6" t="str">
        <x:v>codex-evidence-review-v1</x:v>
      </x:c>
      <x:c r="E223" s="22" t="n">
        <x:v>46244.40206471065</x:v>
      </x:c>
      <x:c r="F223" s="6" t="str">
        <x:v>20</x:v>
      </x:c>
      <x:c r="G223" s="20" t="str">
        <x:v>observed_counterfactual;severe_failure;terminal</x:v>
      </x:c>
      <x:c r="H223" s="20" t="str">
        <x:v>browsergym/miniwob.click-button</x:v>
      </x:c>
      <x:c r="I223" s="6" t="str">
        <x:v>browsergym/miniwob.click-button</x:v>
      </x:c>
      <x:c r="J223" s="6" t="str">
        <x:v>cf-click-button-seed1033-hard_wrong_target</x:v>
      </x:c>
      <x:c r="K223" s="6" t="str">
        <x:v>0</x:v>
      </x:c>
      <x:c r="L223" s="20" t="str">
        <x:v>Click on the "Submit" button.</x:v>
      </x:c>
      <x:c r="M223" s="20" t="str">
        <x:v>click("12", "left")</x:v>
      </x:c>
      <x:c r="N223" s="6" t="str">
        <x:v>0.0</x:v>
      </x:c>
      <x:c r="O223" s="20" t="str">
        <x:v>file:///root/autodl-tmp/miniwob-plusplus/miniwob/html/miniwob/click-button.html</x:v>
      </x:c>
      <x:c r="P223" s="20" t="str">
        <x:v>Click Button Task</x:v>
      </x:c>
      <x:c r="Q223" s="20" t="str">
        <x:v>RootWebArea 'Click Button Task', focused [12] button 'Okay', clickable [13] button 'Submit', clickable [14] textbox '', clickable StaticText 'sed pulvinar id' StaticText 'sit ultrices leo:' [18] textbox '', clickable [20] textbox '', clickable</x:v>
      </x:c>
      <x:c r="R223" s="20" t="str">
        <x:v>file:///root/autodl-tmp/miniwob-plusplus/miniwob/html/miniwob/click-button.html</x:v>
      </x:c>
      <x:c r="S223" s="20" t="str">
        <x:v>Click Button Task</x:v>
      </x:c>
      <x:c r="T223" s="20" t="str">
        <x:v>RootWebArea 'Click Button Task', focused [12] button 'Okay', clickable, focused [13] button 'Submit', clickable [14] textbox '', clickable StaticText 'sed pulvinar id' StaticText 'sit ultrices leo:' [18] textbox '', clickable [20] textbox '', clickable</x:v>
      </x:c>
      <x:c r="U223" s="6" t="str">
        <x:v>0</x:v>
      </x:c>
      <x:c r="V223" s="6" t="str">
        <x:v>0</x:v>
      </x:c>
      <x:c r="W223" s="6" t="str">
        <x:v>0</x:v>
      </x:c>
      <x:c r="X223" s="6" t="str">
        <x:v>1</x:v>
      </x:c>
      <x:c r="Y223" s="6" t="str">
        <x:v>0</x:v>
      </x:c>
      <x:c r="Z223" s="6" t="str">
        <x:v>1</x:v>
      </x:c>
      <x:c r="AA223" s="6" t="str">
        <x:v>0.0</x:v>
      </x:c>
      <x:c r="AB223" s="20" t="str">
        <x:v>Codex证据复核v1：原始记录唯一匹配、环境实测、反事实配对ID完整、终止且非成功、奖励非正、队列标签与结果派生规则一致；非人工签字。</x:v>
      </x:c>
    </x:row>
    <x:row r="224" ht="46" customHeight="1">
      <x:c r="A224" s="6" t="str">
        <x:v>1</x:v>
      </x:c>
      <x:c r="B224" s="6" t="str">
        <x:v>ec32679b5612158b0b2a</x:v>
      </x:c>
      <x:c r="C224" s="6" t="str">
        <x:v>evidence_approved</x:v>
      </x:c>
      <x:c r="D224" s="6" t="str">
        <x:v>codex-evidence-review-v1</x:v>
      </x:c>
      <x:c r="E224" s="22" t="n">
        <x:v>46244.40206471065</x:v>
      </x:c>
      <x:c r="F224" s="6" t="str">
        <x:v>20</x:v>
      </x:c>
      <x:c r="G224" s="20" t="str">
        <x:v>observed_counterfactual;severe_failure;terminal</x:v>
      </x:c>
      <x:c r="H224" s="20" t="str">
        <x:v>browsergym/miniwob.login-user</x:v>
      </x:c>
      <x:c r="I224" s="6" t="str">
        <x:v>browsergym/miniwob.login-user</x:v>
      </x:c>
      <x:c r="J224" s="6" t="str">
        <x:v>cf-login-user-seed1013-hard_wrong_target</x:v>
      </x:c>
      <x:c r="K224" s="6" t="str">
        <x:v>0</x:v>
      </x:c>
      <x:c r="L224" s="20" t="str">
        <x:v>Enter the username "thaddeus" and the password "qpY" into the text fields and press login.</x:v>
      </x:c>
      <x:c r="M224" s="20" t="str">
        <x:v>click("20", "left")</x:v>
      </x:c>
      <x:c r="N224" s="6" t="str">
        <x:v>0.0</x:v>
      </x:c>
      <x:c r="O224" s="20" t="str">
        <x:v>file:///root/autodl-tmp/miniwob-plusplus/miniwob/html/miniwob/login-user.html</x:v>
      </x:c>
      <x:c r="P224" s="20" t="str">
        <x:v>Login User Task</x:v>
      </x:c>
      <x:c r="Q224" s="20" t="str">
        <x:v>RootWebArea 'Login User Task', focused [14] paragraph '' [15] LabelText '' StaticText 'Username' [16] textbox '', clickable [17] paragraph '' [18] LabelText '' StaticText 'Password' [19] textbox '', clickable [20] button 'Login', clickable</x:v>
      </x:c>
      <x:c r="R224" s="20" t="str">
        <x:v>file:///root/autodl-tmp/miniwob-plusplus/miniwob/html/miniwob/login-user.html</x:v>
      </x:c>
      <x:c r="S224" s="20" t="str">
        <x:v>Login User Task</x:v>
      </x:c>
      <x:c r="T224" s="20" t="str">
        <x:v>RootWebArea 'Login User Task', focused [14] paragraph '' [15] LabelText '' StaticText 'Username' [16] textbox '', clickable [17] paragraph '' [18] LabelText '' StaticText 'Password' [19] textbox '', clickable [20] button 'Login', clickable, focused</x:v>
      </x:c>
      <x:c r="U224" s="6" t="str">
        <x:v>0</x:v>
      </x:c>
      <x:c r="V224" s="6" t="str">
        <x:v>0</x:v>
      </x:c>
      <x:c r="W224" s="6" t="str">
        <x:v>0</x:v>
      </x:c>
      <x:c r="X224" s="6" t="str">
        <x:v>1</x:v>
      </x:c>
      <x:c r="Y224" s="6" t="str">
        <x:v>0</x:v>
      </x:c>
      <x:c r="Z224" s="6" t="str">
        <x:v>1</x:v>
      </x:c>
      <x:c r="AA224" s="6" t="str">
        <x:v>0.0</x:v>
      </x:c>
      <x:c r="AB224" s="20" t="str">
        <x:v>Codex证据复核v1：原始记录唯一匹配、环境实测、反事实配对ID完整、终止且非成功、奖励非正、队列标签与结果派生规则一致；非人工签字。</x:v>
      </x:c>
    </x:row>
    <x:row r="225" ht="46" customHeight="1">
      <x:c r="A225" s="6" t="str">
        <x:v>1</x:v>
      </x:c>
      <x:c r="B225" s="6" t="str">
        <x:v>54049d643f74c445e983</x:v>
      </x:c>
      <x:c r="C225" s="6" t="str">
        <x:v>evidence_approved</x:v>
      </x:c>
      <x:c r="D225" s="6" t="str">
        <x:v>codex-evidence-review-v1</x:v>
      </x:c>
      <x:c r="E225" s="22" t="n">
        <x:v>46244.40206471065</x:v>
      </x:c>
      <x:c r="F225" s="6" t="str">
        <x:v>20</x:v>
      </x:c>
      <x:c r="G225" s="20" t="str">
        <x:v>observed_counterfactual;severe_failure;terminal</x:v>
      </x:c>
      <x:c r="H225" s="20" t="str">
        <x:v>browsergym/miniwob.click-menu</x:v>
      </x:c>
      <x:c r="I225" s="6" t="str">
        <x:v>browsergym/miniwob.click-menu</x:v>
      </x:c>
      <x:c r="J225" s="6" t="str">
        <x:v>cf-click-menu-seed1022-hard_wrong_target</x:v>
      </x:c>
      <x:c r="K225" s="6" t="str">
        <x:v>0</x:v>
      </x:c>
      <x:c r="L225" s="20" t="str">
        <x:v>Select Maxy</x:v>
      </x:c>
      <x:c r="M225" s="20" t="str">
        <x:v>click("21", "left")</x:v>
      </x:c>
      <x:c r="N225" s="6" t="str">
        <x:v>0.0</x:v>
      </x:c>
      <x:c r="O225" s="20" t="str">
        <x:v>file:///root/autodl-tmp/miniwob-plusplus/miniwob/html/miniwob/click-menu.html</x:v>
      </x:c>
      <x:c r="P225" s="20" t="str">
        <x:v>Click Menu Task</x:v>
      </x:c>
      <x:c r="Q225" s="20" t="str">
        <x:v>RootWebArea 'Click Menu Task', focused [17] menu '', clickable, orientation='vertical' image '' [19] menuitem 'Maxy' image '' [21] menuitem 'Bryn' image '' [23] menuitem 'Jocelyne'</x:v>
      </x:c>
      <x:c r="R225" s="20" t="str">
        <x:v>file:///root/autodl-tmp/miniwob-plusplus/miniwob/html/miniwob/click-menu.html</x:v>
      </x:c>
      <x:c r="S225" s="20" t="str">
        <x:v>Click Menu Task</x:v>
      </x:c>
      <x:c r="T225" s="20" t="str">
        <x:v>RootWebArea 'Click Menu Task', focused [17] menu '', clickable, orientation='vertical' image '' [19] menuitem 'Maxy' image '' [21] menuitem 'Bryn' image '' [23] menuitem 'Jocelyne'</x:v>
      </x:c>
      <x:c r="U225" s="6" t="str">
        <x:v>0</x:v>
      </x:c>
      <x:c r="V225" s="6" t="str">
        <x:v>0</x:v>
      </x:c>
      <x:c r="W225" s="6" t="str">
        <x:v>0</x:v>
      </x:c>
      <x:c r="X225" s="6" t="str">
        <x:v>1</x:v>
      </x:c>
      <x:c r="Y225" s="6" t="str">
        <x:v>0</x:v>
      </x:c>
      <x:c r="Z225" s="6" t="str">
        <x:v>1</x:v>
      </x:c>
      <x:c r="AA225" s="6" t="str">
        <x:v>0.0</x:v>
      </x:c>
      <x:c r="AB225" s="20" t="str">
        <x:v>Codex证据复核v1：原始记录唯一匹配、环境实测、反事实配对ID完整、终止且非成功、奖励非正、队列标签与结果派生规则一致；非人工签字。</x:v>
      </x:c>
    </x:row>
    <x:row r="226" ht="46" customHeight="1">
      <x:c r="A226" s="6" t="str">
        <x:v>1</x:v>
      </x:c>
      <x:c r="B226" s="6" t="str">
        <x:v>82b78985efd82ebafc7f</x:v>
      </x:c>
      <x:c r="C226" s="6" t="str">
        <x:v>evidence_approved</x:v>
      </x:c>
      <x:c r="D226" s="6" t="str">
        <x:v>codex-evidence-review-v1</x:v>
      </x:c>
      <x:c r="E226" s="22" t="n">
        <x:v>46244.40206471065</x:v>
      </x:c>
      <x:c r="F226" s="6" t="str">
        <x:v>20</x:v>
      </x:c>
      <x:c r="G226" s="20" t="str">
        <x:v>observed_counterfactual;severe_failure;terminal</x:v>
      </x:c>
      <x:c r="H226" s="20" t="str">
        <x:v>browsergym/miniwob.enter-text-dynamic</x:v>
      </x:c>
      <x:c r="I226" s="6" t="str">
        <x:v>browsergym/miniwob.enter-text-dynamic</x:v>
      </x:c>
      <x:c r="J226" s="6" t="str">
        <x:v>cf-enter-text-dynamic-seed1003-hard_wrong_target</x:v>
      </x:c>
      <x:c r="K226" s="6" t="str">
        <x:v>0</x:v>
      </x:c>
      <x:c r="L226" s="20" t="str">
        <x:v>Enter "CJ0" into the text field and press Submit.</x:v>
      </x:c>
      <x:c r="M226" s="20" t="str">
        <x:v>click("15", "left")</x:v>
      </x:c>
      <x:c r="N226" s="6" t="str">
        <x:v>0.0</x:v>
      </x:c>
      <x:c r="O226" s="20" t="str">
        <x:v>file:///root/autodl-tmp/miniwob-plusplus/miniwob/html/miniwob/enter-text-dynamic.html</x:v>
      </x:c>
      <x:c r="P226" s="20" t="str">
        <x:v>Enter Dynamic Text Task</x:v>
      </x:c>
      <x:c r="Q226" s="20" t="str">
        <x:v>RootWebArea 'Enter Dynamic Text Task', focused [14] textbox '', clickable [15] button 'Submit', clickable</x:v>
      </x:c>
      <x:c r="R226" s="20" t="str">
        <x:v>file:///root/autodl-tmp/miniwob-plusplus/miniwob/html/miniwob/enter-text-dynamic.html</x:v>
      </x:c>
      <x:c r="S226" s="20" t="str">
        <x:v>Enter Dynamic Text Task</x:v>
      </x:c>
      <x:c r="T226" s="20" t="str">
        <x:v>RootWebArea 'Enter Dynamic Text Task', focused [14] textbox '', clickable [15] button 'Submit', clickable, focused</x:v>
      </x:c>
      <x:c r="U226" s="6" t="str">
        <x:v>0</x:v>
      </x:c>
      <x:c r="V226" s="6" t="str">
        <x:v>0</x:v>
      </x:c>
      <x:c r="W226" s="6" t="str">
        <x:v>0</x:v>
      </x:c>
      <x:c r="X226" s="6" t="str">
        <x:v>1</x:v>
      </x:c>
      <x:c r="Y226" s="6" t="str">
        <x:v>0</x:v>
      </x:c>
      <x:c r="Z226" s="6" t="str">
        <x:v>1</x:v>
      </x:c>
      <x:c r="AA226" s="6" t="str">
        <x:v>0.0</x:v>
      </x:c>
      <x:c r="AB226" s="20" t="str">
        <x:v>Codex证据复核v1：原始记录唯一匹配、环境实测、反事实配对ID完整、终止且非成功、奖励非正、队列标签与结果派生规则一致；非人工签字。</x:v>
      </x:c>
    </x:row>
    <x:row r="227" ht="46" customHeight="1">
      <x:c r="A227" s="6" t="str">
        <x:v>1</x:v>
      </x:c>
      <x:c r="B227" s="6" t="str">
        <x:v>ff0da8b2d1ad09a64acb</x:v>
      </x:c>
      <x:c r="C227" s="6" t="str">
        <x:v>evidence_approved</x:v>
      </x:c>
      <x:c r="D227" s="6" t="str">
        <x:v>codex-evidence-review-v1</x:v>
      </x:c>
      <x:c r="E227" s="22" t="n">
        <x:v>46244.40206471065</x:v>
      </x:c>
      <x:c r="F227" s="6" t="str">
        <x:v>20</x:v>
      </x:c>
      <x:c r="G227" s="20" t="str">
        <x:v>observed_counterfactual;severe_failure;terminal</x:v>
      </x:c>
      <x:c r="H227" s="20" t="str">
        <x:v>browsergym/miniwob.click-test-2</x:v>
      </x:c>
      <x:c r="I227" s="6" t="str">
        <x:v>browsergym/miniwob.click-test-2</x:v>
      </x:c>
      <x:c r="J227" s="6" t="str">
        <x:v>cf-click-test-2-seed1018-hard_wrong_target</x:v>
      </x:c>
      <x:c r="K227" s="6" t="str">
        <x:v>0</x:v>
      </x:c>
      <x:c r="L227" s="20" t="str">
        <x:v>Click button ONE.</x:v>
      </x:c>
      <x:c r="M227" s="20" t="str">
        <x:v>click("14", "left")</x:v>
      </x:c>
      <x:c r="N227" s="6" t="str">
        <x:v>0.0</x:v>
      </x:c>
      <x:c r="O227" s="20" t="str">
        <x:v>file:///root/autodl-tmp/miniwob-plusplus/miniwob/html/miniwob/click-test-2.html</x:v>
      </x:c>
      <x:c r="P227" s="20" t="str">
        <x:v>Click Test Task</x:v>
      </x:c>
      <x:c r="Q227" s="20" t="str">
        <x:v>RootWebArea 'Click Test Task', focused [13] button 'ONE', clickable [14] button 'TWO', clickable</x:v>
      </x:c>
      <x:c r="R227" s="20" t="str">
        <x:v>file:///root/autodl-tmp/miniwob-plusplus/miniwob/html/miniwob/click-test-2.html</x:v>
      </x:c>
      <x:c r="S227" s="20" t="str">
        <x:v>Click Test Task</x:v>
      </x:c>
      <x:c r="T227" s="20" t="str">
        <x:v>RootWebArea 'Click Test Task', focused [13] button 'ONE', clickable [14] button 'TWO', clickable, focused</x:v>
      </x:c>
      <x:c r="U227" s="6" t="str">
        <x:v>0</x:v>
      </x:c>
      <x:c r="V227" s="6" t="str">
        <x:v>0</x:v>
      </x:c>
      <x:c r="W227" s="6" t="str">
        <x:v>0</x:v>
      </x:c>
      <x:c r="X227" s="6" t="str">
        <x:v>1</x:v>
      </x:c>
      <x:c r="Y227" s="6" t="str">
        <x:v>0</x:v>
      </x:c>
      <x:c r="Z227" s="6" t="str">
        <x:v>1</x:v>
      </x:c>
      <x:c r="AA227" s="6" t="str">
        <x:v>0.0</x:v>
      </x:c>
      <x:c r="AB227" s="20" t="str">
        <x:v>Codex证据复核v1：原始记录唯一匹配、环境实测、反事实配对ID完整、终止且非成功、奖励非正、队列标签与结果派生规则一致；非人工签字。</x:v>
      </x:c>
    </x:row>
    <x:row r="228" ht="46" customHeight="1">
      <x:c r="A228" s="6" t="str">
        <x:v>1</x:v>
      </x:c>
      <x:c r="B228" s="6" t="str">
        <x:v>1a1eca27003833ad7815</x:v>
      </x:c>
      <x:c r="C228" s="6" t="str">
        <x:v>evidence_approved</x:v>
      </x:c>
      <x:c r="D228" s="6" t="str">
        <x:v>codex-evidence-review-v1</x:v>
      </x:c>
      <x:c r="E228" s="22" t="n">
        <x:v>46244.40206471065</x:v>
      </x:c>
      <x:c r="F228" s="6" t="str">
        <x:v>20</x:v>
      </x:c>
      <x:c r="G228" s="20" t="str">
        <x:v>observed_counterfactual;severe_failure;terminal</x:v>
      </x:c>
      <x:c r="H228" s="20" t="str">
        <x:v>browsergym/miniwob.click-widget</x:v>
      </x:c>
      <x:c r="I228" s="6" t="str">
        <x:v>browsergym/miniwob.click-widget</x:v>
      </x:c>
      <x:c r="J228" s="6" t="str">
        <x:v>cf-click-widget-seed1039-wrong_action_type</x:v>
      </x:c>
      <x:c r="K228" s="6" t="str">
        <x:v>0</x:v>
      </x:c>
      <x:c r="L228" s="20" t="str">
        <x:v>Click on a "textarea" widget.</x:v>
      </x:c>
      <x:c r="M228" s="20" t="str">
        <x:v>click("23", "left")</x:v>
      </x:c>
      <x:c r="N228" s="6" t="str">
        <x:v>0.0</x:v>
      </x:c>
      <x:c r="O228" s="20" t="str">
        <x:v>file:///root/autodl-tmp/miniwob-plusplus/miniwob/html/miniwob/click-widget.html</x:v>
      </x:c>
      <x:c r="P228" s="20" t="str">
        <x:v>Click Widget Task</x:v>
      </x:c>
      <x:c r="Q228" s="20" t="str">
        <x:v>RootWebArea 'Click Widget Task', focused [14] textbox '' value='e' StaticText 'e' [16] LabelText '', clickable [17] checkbox '6N', clickable, checked='false' StaticText '6N' [19] textbox '' value='f' StaticText 'f' [21] textbox '' value='CkD' StaticText 'CkD' [23] button 'i3wO5'</x:v>
      </x:c>
      <x:c r="R228" s="20" t="str">
        <x:v>file:///root/autodl-tmp/miniwob-plusplus/miniwob/html/miniwob/click-widget.html</x:v>
      </x:c>
      <x:c r="S228" s="20" t="str">
        <x:v>Click Widget Task</x:v>
      </x:c>
      <x:c r="T228" s="20" t="str">
        <x:v>RootWebArea 'Click Widget Task', focused [14] textbox '' value='e' StaticText 'e' [16] LabelText '', clickable [17] checkbox '6N', clickable, checked='false' StaticText '6N' [19] textbox '' value='f' StaticText 'f' [21] textbox '' value='CkD' StaticText 'CkD' [23] button 'i3wO5', focused</x:v>
      </x:c>
      <x:c r="U228" s="6" t="str">
        <x:v>0</x:v>
      </x:c>
      <x:c r="V228" s="6" t="str">
        <x:v>0</x:v>
      </x:c>
      <x:c r="W228" s="6" t="str">
        <x:v>0</x:v>
      </x:c>
      <x:c r="X228" s="6" t="str">
        <x:v>1</x:v>
      </x:c>
      <x:c r="Y228" s="6" t="str">
        <x:v>0</x:v>
      </x:c>
      <x:c r="Z228" s="6" t="str">
        <x:v>1</x:v>
      </x:c>
      <x:c r="AA228" s="6" t="str">
        <x:v>0.0</x:v>
      </x:c>
      <x:c r="AB228" s="20" t="str">
        <x:v>Codex证据复核v1：原始记录唯一匹配、环境实测、反事实配对ID完整、终止且非成功、奖励非正、队列标签与结果派生规则一致；非人工签字。</x:v>
      </x:c>
    </x:row>
    <x:row r="229" ht="46" customHeight="1">
      <x:c r="A229" s="6" t="str">
        <x:v>1</x:v>
      </x:c>
      <x:c r="B229" s="6" t="str">
        <x:v>786004071d7286f7fc6a</x:v>
      </x:c>
      <x:c r="C229" s="6" t="str">
        <x:v>evidence_approved</x:v>
      </x:c>
      <x:c r="D229" s="6" t="str">
        <x:v>codex-evidence-review-v1</x:v>
      </x:c>
      <x:c r="E229" s="22" t="n">
        <x:v>46244.40206471065</x:v>
      </x:c>
      <x:c r="F229" s="6" t="str">
        <x:v>20</x:v>
      </x:c>
      <x:c r="G229" s="20" t="str">
        <x:v>observed_counterfactual;severe_failure;terminal</x:v>
      </x:c>
      <x:c r="H229" s="20" t="str">
        <x:v>browsergym/miniwob.click-test-2</x:v>
      </x:c>
      <x:c r="I229" s="6" t="str">
        <x:v>browsergym/miniwob.click-test-2</x:v>
      </x:c>
      <x:c r="J229" s="6" t="str">
        <x:v>cf-click-test-2-seed1004-hard_wrong_target</x:v>
      </x:c>
      <x:c r="K229" s="6" t="str">
        <x:v>0</x:v>
      </x:c>
      <x:c r="L229" s="20" t="str">
        <x:v>Click button ONE.</x:v>
      </x:c>
      <x:c r="M229" s="20" t="str">
        <x:v>click("14", "left")</x:v>
      </x:c>
      <x:c r="N229" s="6" t="str">
        <x:v>0.0</x:v>
      </x:c>
      <x:c r="O229" s="20" t="str">
        <x:v>file:///root/autodl-tmp/miniwob-plusplus/miniwob/html/miniwob/click-test-2.html</x:v>
      </x:c>
      <x:c r="P229" s="20" t="str">
        <x:v>Click Test Task</x:v>
      </x:c>
      <x:c r="Q229" s="20" t="str">
        <x:v>RootWebArea 'Click Test Task', focused [13] button 'ONE', clickable [14] button 'TWO', clickable</x:v>
      </x:c>
      <x:c r="R229" s="20" t="str">
        <x:v>file:///root/autodl-tmp/miniwob-plusplus/miniwob/html/miniwob/click-test-2.html</x:v>
      </x:c>
      <x:c r="S229" s="20" t="str">
        <x:v>Click Test Task</x:v>
      </x:c>
      <x:c r="T229" s="20" t="str">
        <x:v>RootWebArea 'Click Test Task', focused [13] button 'ONE', clickable [14] button 'TWO', clickable, focused</x:v>
      </x:c>
      <x:c r="U229" s="6" t="str">
        <x:v>0</x:v>
      </x:c>
      <x:c r="V229" s="6" t="str">
        <x:v>0</x:v>
      </x:c>
      <x:c r="W229" s="6" t="str">
        <x:v>0</x:v>
      </x:c>
      <x:c r="X229" s="6" t="str">
        <x:v>1</x:v>
      </x:c>
      <x:c r="Y229" s="6" t="str">
        <x:v>0</x:v>
      </x:c>
      <x:c r="Z229" s="6" t="str">
        <x:v>1</x:v>
      </x:c>
      <x:c r="AA229" s="6" t="str">
        <x:v>0.0</x:v>
      </x:c>
      <x:c r="AB229" s="20" t="str">
        <x:v>Codex证据复核v1：原始记录唯一匹配、环境实测、反事实配对ID完整、终止且非成功、奖励非正、队列标签与结果派生规则一致；非人工签字。</x:v>
      </x:c>
    </x:row>
    <x:row r="230" ht="46" customHeight="1">
      <x:c r="A230" s="6" t="str">
        <x:v>1</x:v>
      </x:c>
      <x:c r="B230" s="6" t="str">
        <x:v>b7eab04254e61f60507a</x:v>
      </x:c>
      <x:c r="C230" s="6" t="str">
        <x:v>evidence_approved</x:v>
      </x:c>
      <x:c r="D230" s="6" t="str">
        <x:v>codex-evidence-review-v1</x:v>
      </x:c>
      <x:c r="E230" s="22" t="n">
        <x:v>46244.40206471065</x:v>
      </x:c>
      <x:c r="F230" s="6" t="str">
        <x:v>20</x:v>
      </x:c>
      <x:c r="G230" s="20" t="str">
        <x:v>observed_counterfactual;severe_failure;terminal</x:v>
      </x:c>
      <x:c r="H230" s="20" t="str">
        <x:v>browsergym/miniwob.enter-password</x:v>
      </x:c>
      <x:c r="I230" s="6" t="str">
        <x:v>browsergym/miniwob.enter-password</x:v>
      </x:c>
      <x:c r="J230" s="6" t="str">
        <x:v>cf-enter-password-seed1003-hard_wrong_target</x:v>
      </x:c>
      <x:c r="K230" s="6" t="str">
        <x:v>0</x:v>
      </x:c>
      <x:c r="L230" s="20" t="str">
        <x:v>Enter the password "6YW" into both text fields and press submit.</x:v>
      </x:c>
      <x:c r="M230" s="20" t="str">
        <x:v>click("20", "left")</x:v>
      </x:c>
      <x:c r="N230" s="6" t="str">
        <x:v>0.0</x:v>
      </x:c>
      <x:c r="O230" s="20" t="str">
        <x:v>file:///root/autodl-tmp/miniwob-plusplus/miniwob/html/miniwob/enter-password.html</x:v>
      </x:c>
      <x:c r="P230" s="20" t="str">
        <x:v>Enter Password Task</x:v>
      </x:c>
      <x:c r="Q230" s="20" t="str">
        <x:v>RootWebArea 'Enter Password Task', focused [14] paragraph '' [15] LabelText '' StaticText 'Password' [16] textbox '', clickable [17] paragraph '' [18] LabelText '' StaticText 'Verify password' [19] textbox '', clickable [20] button 'Submit', clickable</x:v>
      </x:c>
      <x:c r="R230" s="20" t="str">
        <x:v>file:///root/autodl-tmp/miniwob-plusplus/miniwob/html/miniwob/enter-password.html</x:v>
      </x:c>
      <x:c r="S230" s="20" t="str">
        <x:v>Enter Password Task</x:v>
      </x:c>
      <x:c r="T230" s="20" t="str">
        <x:v>RootWebArea 'Enter Password Task', focused [14] paragraph '' [15] LabelText '' StaticText 'Password' [16] textbox '', clickable [17] paragraph '' [18] LabelText '' StaticText 'Verify password' [19] textbox '', clickable [20] button 'Submit', clickable, focused</x:v>
      </x:c>
      <x:c r="U230" s="6" t="str">
        <x:v>0</x:v>
      </x:c>
      <x:c r="V230" s="6" t="str">
        <x:v>0</x:v>
      </x:c>
      <x:c r="W230" s="6" t="str">
        <x:v>0</x:v>
      </x:c>
      <x:c r="X230" s="6" t="str">
        <x:v>1</x:v>
      </x:c>
      <x:c r="Y230" s="6" t="str">
        <x:v>0</x:v>
      </x:c>
      <x:c r="Z230" s="6" t="str">
        <x:v>1</x:v>
      </x:c>
      <x:c r="AA230" s="6" t="str">
        <x:v>0.0</x:v>
      </x:c>
      <x:c r="AB230" s="20" t="str">
        <x:v>Codex证据复核v1：原始记录唯一匹配、环境实测、反事实配对ID完整、终止且非成功、奖励非正、队列标签与结果派生规则一致；非人工签字。</x:v>
      </x:c>
    </x:row>
    <x:row r="231" ht="46" customHeight="1">
      <x:c r="A231" s="6" t="str">
        <x:v>1</x:v>
      </x:c>
      <x:c r="B231" s="6" t="str">
        <x:v>378fcad6023010daf372</x:v>
      </x:c>
      <x:c r="C231" s="6" t="str">
        <x:v>evidence_approved</x:v>
      </x:c>
      <x:c r="D231" s="6" t="str">
        <x:v>codex-evidence-review-v1</x:v>
      </x:c>
      <x:c r="E231" s="22" t="n">
        <x:v>46244.40206471065</x:v>
      </x:c>
      <x:c r="F231" s="6" t="str">
        <x:v>20</x:v>
      </x:c>
      <x:c r="G231" s="20" t="str">
        <x:v>observed_counterfactual;severe_failure;terminal</x:v>
      </x:c>
      <x:c r="H231" s="20" t="str">
        <x:v>browsergym/miniwob.enter-text-dynamic</x:v>
      </x:c>
      <x:c r="I231" s="6" t="str">
        <x:v>browsergym/miniwob.enter-text-dynamic</x:v>
      </x:c>
      <x:c r="J231" s="6" t="str">
        <x:v>cf-enter-text-dynamic-seed1000-hard_wrong_target</x:v>
      </x:c>
      <x:c r="K231" s="6" t="str">
        <x:v>0</x:v>
      </x:c>
      <x:c r="L231" s="20" t="str">
        <x:v>Enter "4OQ" into the text field and press Submit.</x:v>
      </x:c>
      <x:c r="M231" s="20" t="str">
        <x:v>click("15", "left")</x:v>
      </x:c>
      <x:c r="N231" s="6" t="str">
        <x:v>0.0</x:v>
      </x:c>
      <x:c r="O231" s="20" t="str">
        <x:v>file:///root/autodl-tmp/miniwob-plusplus/miniwob/html/miniwob/enter-text-dynamic.html</x:v>
      </x:c>
      <x:c r="P231" s="20" t="str">
        <x:v>Enter Dynamic Text Task</x:v>
      </x:c>
      <x:c r="Q231" s="20" t="str">
        <x:v>RootWebArea 'Enter Dynamic Text Task', focused [14] textbox '', clickable [15] button 'Submit', clickable</x:v>
      </x:c>
      <x:c r="R231" s="20" t="str">
        <x:v>file:///root/autodl-tmp/miniwob-plusplus/miniwob/html/miniwob/enter-text-dynamic.html</x:v>
      </x:c>
      <x:c r="S231" s="20" t="str">
        <x:v>Enter Dynamic Text Task</x:v>
      </x:c>
      <x:c r="T231" s="20" t="str">
        <x:v>RootWebArea 'Enter Dynamic Text Task', focused [14] textbox '', clickable [15] button 'Submit', clickable, focused</x:v>
      </x:c>
      <x:c r="U231" s="6" t="str">
        <x:v>0</x:v>
      </x:c>
      <x:c r="V231" s="6" t="str">
        <x:v>0</x:v>
      </x:c>
      <x:c r="W231" s="6" t="str">
        <x:v>0</x:v>
      </x:c>
      <x:c r="X231" s="6" t="str">
        <x:v>1</x:v>
      </x:c>
      <x:c r="Y231" s="6" t="str">
        <x:v>0</x:v>
      </x:c>
      <x:c r="Z231" s="6" t="str">
        <x:v>1</x:v>
      </x:c>
      <x:c r="AA231" s="6" t="str">
        <x:v>0.0</x:v>
      </x:c>
      <x:c r="AB231" s="20" t="str">
        <x:v>Codex证据复核v1：原始记录唯一匹配、环境实测、反事实配对ID完整、终止且非成功、奖励非正、队列标签与结果派生规则一致；非人工签字。</x:v>
      </x:c>
    </x:row>
    <x:row r="232" ht="46" customHeight="1">
      <x:c r="A232" s="6" t="str">
        <x:v>1</x:v>
      </x:c>
      <x:c r="B232" s="6" t="str">
        <x:v>1d50ab782d51d3e5cc43</x:v>
      </x:c>
      <x:c r="C232" s="6" t="str">
        <x:v>evidence_approved</x:v>
      </x:c>
      <x:c r="D232" s="6" t="str">
        <x:v>codex-evidence-review-v1</x:v>
      </x:c>
      <x:c r="E232" s="22" t="n">
        <x:v>46244.40206471065</x:v>
      </x:c>
      <x:c r="F232" s="6" t="str">
        <x:v>20</x:v>
      </x:c>
      <x:c r="G232" s="20" t="str">
        <x:v>observed_counterfactual;severe_failure;terminal</x:v>
      </x:c>
      <x:c r="H232" s="20" t="str">
        <x:v>browsergym/miniwob.enter-text-2</x:v>
      </x:c>
      <x:c r="I232" s="6" t="str">
        <x:v>browsergym/miniwob.enter-text-2</x:v>
      </x:c>
      <x:c r="J232" s="6" t="str">
        <x:v>cf-enter-text-2-seed1002-hard_wrong_target</x:v>
      </x:c>
      <x:c r="K232" s="6" t="str">
        <x:v>0</x:v>
      </x:c>
      <x:c r="L232" s="20" t="str">
        <x:v>Type "annis" in all upper case letters in the text input and press Submit.</x:v>
      </x:c>
      <x:c r="M232" s="20" t="str">
        <x:v>click("15", "left")</x:v>
      </x:c>
      <x:c r="N232" s="6" t="str">
        <x:v>0.0</x:v>
      </x:c>
      <x:c r="O232" s="20" t="str">
        <x:v>file:///root/autodl-tmp/miniwob-plusplus/miniwob/html/miniwob/enter-text-2.html</x:v>
      </x:c>
      <x:c r="P232" s="20" t="str">
        <x:v>Enter Text Task</x:v>
      </x:c>
      <x:c r="Q232" s="20" t="str">
        <x:v>RootWebArea 'Enter Text Task', focused [14] textbox '', clickable [15] button 'Submit', clickable</x:v>
      </x:c>
      <x:c r="R232" s="20" t="str">
        <x:v>file:///root/autodl-tmp/miniwob-plusplus/miniwob/html/miniwob/enter-text-2.html</x:v>
      </x:c>
      <x:c r="S232" s="20" t="str">
        <x:v>Enter Text Task</x:v>
      </x:c>
      <x:c r="T232" s="20" t="str">
        <x:v>RootWebArea 'Enter Text Task', focused [14] textbox '', clickable [15] button 'Submit', clickable, focused</x:v>
      </x:c>
      <x:c r="U232" s="6" t="str">
        <x:v>0</x:v>
      </x:c>
      <x:c r="V232" s="6" t="str">
        <x:v>0</x:v>
      </x:c>
      <x:c r="W232" s="6" t="str">
        <x:v>0</x:v>
      </x:c>
      <x:c r="X232" s="6" t="str">
        <x:v>1</x:v>
      </x:c>
      <x:c r="Y232" s="6" t="str">
        <x:v>0</x:v>
      </x:c>
      <x:c r="Z232" s="6" t="str">
        <x:v>1</x:v>
      </x:c>
      <x:c r="AA232" s="6" t="str">
        <x:v>0.0</x:v>
      </x:c>
      <x:c r="AB232" s="20" t="str">
        <x:v>Codex证据复核v1：原始记录唯一匹配、环境实测、反事实配对ID完整、终止且非成功、奖励非正、队列标签与结果派生规则一致；非人工签字。</x:v>
      </x:c>
    </x:row>
    <x:row r="233" ht="46" customHeight="1">
      <x:c r="A233" s="6" t="str">
        <x:v>1</x:v>
      </x:c>
      <x:c r="B233" s="6" t="str">
        <x:v>303aa1604caefbbaeb28</x:v>
      </x:c>
      <x:c r="C233" s="6" t="str">
        <x:v>evidence_approved</x:v>
      </x:c>
      <x:c r="D233" s="6" t="str">
        <x:v>codex-evidence-review-v1</x:v>
      </x:c>
      <x:c r="E233" s="22" t="n">
        <x:v>46244.40206471065</x:v>
      </x:c>
      <x:c r="F233" s="6" t="str">
        <x:v>20</x:v>
      </x:c>
      <x:c r="G233" s="20" t="str">
        <x:v>observed_counterfactual;severe_failure;terminal</x:v>
      </x:c>
      <x:c r="H233" s="20" t="str">
        <x:v>browsergym/miniwob.scroll-text</x:v>
      </x:c>
      <x:c r="I233" s="6" t="str">
        <x:v>browsergym/miniwob.scroll-text</x:v>
      </x:c>
      <x:c r="J233" s="6" t="str">
        <x:v>cf-scroll-text-seed1017-hard_wrong_target</x:v>
      </x:c>
      <x:c r="K233" s="6" t="str">
        <x:v>0</x:v>
      </x:c>
      <x:c r="L233" s="20" t="str">
        <x:v>Find the last word in the text area, enter it into the text field and hit Submit.</x:v>
      </x:c>
      <x:c r="M233" s="20" t="str">
        <x:v>click("15", "left")</x:v>
      </x:c>
      <x:c r="N233" s="6" t="str">
        <x:v>0.0</x:v>
      </x:c>
      <x:c r="O233" s="20" t="str">
        <x:v>file:///root/autodl-tmp/miniwob-plusplus/miniwob/html/miniwob/scroll-text.html</x:v>
      </x:c>
      <x:c r="P233" s="20" t="str">
        <x:v>Scroll Text Task</x:v>
      </x:c>
      <x:c r="Q233" s="20" t="str">
        <x:v>RootWebArea 'Scroll Text Task', focused [13] textbox '' value='In. Diam. Nunc,. Eget mattis a, dui,. Volutpat nunc suspendisse diam et cras eu aliquam et nulla vestibulum vestibulum. Nec. Sed. Eget scelerisque donec vitae hendrerit pretium, fringilla. Cras nisi sit aliquam ornare tellus quam nisl justo augue duis tincidunt ultrices mauris nunc quisque sed quis. Tristique viverra enim. Nisl ac accumsan aenean. Fringilla vitae, congue sed nulla nulla ut dignissim non amet, velit sed. Mauris volutpat. Blandit consequat a adipiscing faucibus. Risus feugiat cursus nulla porta ullamcorper sed sodales morbi neque, egestas nisl sed mauri… StaticText 'In. Diam. Nunc,. Eget mattis a, dui,. Volutpat nunc suspendisse diam et cras eu aliquam et nulla vestibulum vestibulum. Nec. Sed. Eget scelerisque donec vitae hendrerit pretium, fringilla. Cras nisi sit aliquam ornare tellus quam nisl justo augue d…</x:v>
      </x:c>
      <x:c r="R233" s="20" t="str">
        <x:v>file:///root/autodl-tmp/miniwob-plusplus/miniwob/html/miniwob/scroll-text.html</x:v>
      </x:c>
      <x:c r="S233" s="20" t="str">
        <x:v>Scroll Text Task</x:v>
      </x:c>
      <x:c r="T233" s="20" t="str">
        <x:v>RootWebArea 'Scroll Text Task', focused [13] textbox '' value='In. Diam. Nunc,. Eget mattis a, dui,. Volutpat nunc suspendisse diam et cras eu aliquam et nulla vestibulum vestibulum. Nec. Sed. Eget scelerisque donec vitae hendrerit pretium, fringilla. Cras nisi sit aliquam ornare tellus quam nisl justo augue duis tincidunt ultrices mauris nunc quisque sed quis. Tristique viverra enim. Nisl ac accumsan aenean. Fringilla vitae, congue sed nulla nulla ut dignissim non amet, velit sed. Mauris volutpat. Blandit consequat a adipiscing faucibus. Risus feugiat cursus nulla porta ullamcorper sed sodales morbi neque, egestas nisl sed mauri… StaticText 'In. Diam. Nunc,. Eget mattis a, dui,. Volutpat nunc suspendisse diam et cras eu aliquam et nulla vestibulum vestibulum. Nec. Sed. Eget scelerisque donec vitae hendrerit pretium, fringilla. Cras nisi sit aliquam ornare tellus quam nisl justo augue d…</x:v>
      </x:c>
      <x:c r="U233" s="6" t="str">
        <x:v>0</x:v>
      </x:c>
      <x:c r="V233" s="6" t="str">
        <x:v>0</x:v>
      </x:c>
      <x:c r="W233" s="6" t="str">
        <x:v>0</x:v>
      </x:c>
      <x:c r="X233" s="6" t="str">
        <x:v>1</x:v>
      </x:c>
      <x:c r="Y233" s="6" t="str">
        <x:v>0</x:v>
      </x:c>
      <x:c r="Z233" s="6" t="str">
        <x:v>1</x:v>
      </x:c>
      <x:c r="AA233" s="6" t="str">
        <x:v>0.0</x:v>
      </x:c>
      <x:c r="AB233" s="20" t="str">
        <x:v>Codex证据复核v1：原始记录唯一匹配、环境实测、反事实配对ID完整、终止且非成功、奖励非正、队列标签与结果派生规则一致；非人工签字。</x:v>
      </x:c>
    </x:row>
    <x:row r="234" ht="46" customHeight="1">
      <x:c r="A234" s="6" t="str">
        <x:v>1</x:v>
      </x:c>
      <x:c r="B234" s="6" t="str">
        <x:v>e0e60f25fa191759a458</x:v>
      </x:c>
      <x:c r="C234" s="6" t="str">
        <x:v>evidence_approved</x:v>
      </x:c>
      <x:c r="D234" s="6" t="str">
        <x:v>codex-evidence-review-v1</x:v>
      </x:c>
      <x:c r="E234" s="22" t="n">
        <x:v>46244.40206471065</x:v>
      </x:c>
      <x:c r="F234" s="6" t="str">
        <x:v>20</x:v>
      </x:c>
      <x:c r="G234" s="20" t="str">
        <x:v>observed_counterfactual;severe_failure;terminal</x:v>
      </x:c>
      <x:c r="H234" s="20" t="str">
        <x:v>browsergym/miniwob.click-dialog-2</x:v>
      </x:c>
      <x:c r="I234" s="6" t="str">
        <x:v>browsergym/miniwob.click-dialog-2</x:v>
      </x:c>
      <x:c r="J234" s="6" t="str">
        <x:v>cf-click-dialog-2-seed1039-hard_wrong_target</x:v>
      </x:c>
      <x:c r="K234" s="6" t="str">
        <x:v>0</x:v>
      </x:c>
      <x:c r="L234" s="20" t="str">
        <x:v>Click the button in the dialog box labeled "Cancel".</x:v>
      </x:c>
      <x:c r="M234" s="20" t="str">
        <x:v>click("28", "left")</x:v>
      </x:c>
      <x:c r="N234" s="6" t="str">
        <x:v>0.0</x:v>
      </x:c>
      <x:c r="O234" s="20" t="str">
        <x:v>file:///root/autodl-tmp/miniwob-plusplus/miniwob/html/miniwob/click-dialog-2.html</x:v>
      </x:c>
      <x:c r="P234" s="20" t="str">
        <x:v>Click Dialog Task</x:v>
      </x:c>
      <x:c r="Q234" s="20" t="str">
        <x:v>RootWebArea 'Click Dialog Task', focused [17] dialog '', clickable, modal=False, describedby='dialog' StaticText '' [20] button 'Close', clickable [24] paragraph '' StaticText 'Consectetur. Potenti ipsum nunc. Volutpat adipiscing.' [27] button 'Cancel', clickable, focused [28] button 'OK', clickable</x:v>
      </x:c>
      <x:c r="R234" s="20" t="str">
        <x:v>file:///root/autodl-tmp/miniwob-plusplus/miniwob/html/miniwob/click-dialog-2.html</x:v>
      </x:c>
      <x:c r="S234" s="20" t="str">
        <x:v>Click Dialog Task</x:v>
      </x:c>
      <x:c r="T234" s="20" t="str">
        <x:v>RootWebArea 'Click Dialog Task', focused [17] dialog '', clickable, modal=False, describedby='dialog' StaticText '' [20] button 'Close', clickable [24] paragraph '' StaticText 'Consectetur. Potenti ipsum nunc. Volutpat adipiscing.' [27] button 'Cancel', clickable [28] button 'OK', clickable, focused</x:v>
      </x:c>
      <x:c r="U234" s="6" t="str">
        <x:v>0</x:v>
      </x:c>
      <x:c r="V234" s="6" t="str">
        <x:v>0</x:v>
      </x:c>
      <x:c r="W234" s="6" t="str">
        <x:v>0</x:v>
      </x:c>
      <x:c r="X234" s="6" t="str">
        <x:v>1</x:v>
      </x:c>
      <x:c r="Y234" s="6" t="str">
        <x:v>0</x:v>
      </x:c>
      <x:c r="Z234" s="6" t="str">
        <x:v>1</x:v>
      </x:c>
      <x:c r="AA234" s="6" t="str">
        <x:v>0.0</x:v>
      </x:c>
      <x:c r="AB234" s="20" t="str">
        <x:v>Codex证据复核v1：原始记录唯一匹配、环境实测、反事实配对ID完整、终止且非成功、奖励非正、队列标签与结果派生规则一致；非人工签字。</x:v>
      </x:c>
    </x:row>
    <x:row r="235" ht="46" customHeight="1">
      <x:c r="A235" s="6" t="str">
        <x:v>1</x:v>
      </x:c>
      <x:c r="B235" s="6" t="str">
        <x:v>a93238e988336a4cbb06</x:v>
      </x:c>
      <x:c r="C235" s="6" t="str">
        <x:v>evidence_approved</x:v>
      </x:c>
      <x:c r="D235" s="6" t="str">
        <x:v>codex-evidence-review-v1</x:v>
      </x:c>
      <x:c r="E235" s="22" t="n">
        <x:v>46244.40206471065</x:v>
      </x:c>
      <x:c r="F235" s="6" t="str">
        <x:v>20</x:v>
      </x:c>
      <x:c r="G235" s="20" t="str">
        <x:v>observed_counterfactual;severe_failure;terminal</x:v>
      </x:c>
      <x:c r="H235" s="20" t="str">
        <x:v>browsergym/miniwob.enter-text-dynamic</x:v>
      </x:c>
      <x:c r="I235" s="6" t="str">
        <x:v>browsergym/miniwob.enter-text-dynamic</x:v>
      </x:c>
      <x:c r="J235" s="6" t="str">
        <x:v>cf-enter-text-dynamic-seed1034-hard_wrong_target</x:v>
      </x:c>
      <x:c r="K235" s="6" t="str">
        <x:v>0</x:v>
      </x:c>
      <x:c r="L235" s="20" t="str">
        <x:v>Enter "MATKb" into the text field and press Submit.</x:v>
      </x:c>
      <x:c r="M235" s="20" t="str">
        <x:v>click("15", "left")</x:v>
      </x:c>
      <x:c r="N235" s="6" t="str">
        <x:v>0.0</x:v>
      </x:c>
      <x:c r="O235" s="20" t="str">
        <x:v>file:///root/autodl-tmp/miniwob-plusplus/miniwob/html/miniwob/enter-text-dynamic.html</x:v>
      </x:c>
      <x:c r="P235" s="20" t="str">
        <x:v>Enter Dynamic Text Task</x:v>
      </x:c>
      <x:c r="Q235" s="20" t="str">
        <x:v>RootWebArea 'Enter Dynamic Text Task', focused [14] textbox '', clickable [15] button 'Submit', clickable</x:v>
      </x:c>
      <x:c r="R235" s="20" t="str">
        <x:v>file:///root/autodl-tmp/miniwob-plusplus/miniwob/html/miniwob/enter-text-dynamic.html</x:v>
      </x:c>
      <x:c r="S235" s="20" t="str">
        <x:v>Enter Dynamic Text Task</x:v>
      </x:c>
      <x:c r="T235" s="20" t="str">
        <x:v>RootWebArea 'Enter Dynamic Text Task', focused [14] textbox '', clickable [15] button 'Submit', clickable, focused</x:v>
      </x:c>
      <x:c r="U235" s="6" t="str">
        <x:v>0</x:v>
      </x:c>
      <x:c r="V235" s="6" t="str">
        <x:v>0</x:v>
      </x:c>
      <x:c r="W235" s="6" t="str">
        <x:v>0</x:v>
      </x:c>
      <x:c r="X235" s="6" t="str">
        <x:v>1</x:v>
      </x:c>
      <x:c r="Y235" s="6" t="str">
        <x:v>0</x:v>
      </x:c>
      <x:c r="Z235" s="6" t="str">
        <x:v>1</x:v>
      </x:c>
      <x:c r="AA235" s="6" t="str">
        <x:v>0.0</x:v>
      </x:c>
      <x:c r="AB235" s="20" t="str">
        <x:v>Codex证据复核v1：原始记录唯一匹配、环境实测、反事实配对ID完整、终止且非成功、奖励非正、队列标签与结果派生规则一致；非人工签字。</x:v>
      </x:c>
    </x:row>
    <x:row r="236" ht="46" customHeight="1">
      <x:c r="A236" s="6" t="str">
        <x:v>1</x:v>
      </x:c>
      <x:c r="B236" s="6" t="str">
        <x:v>6741e4d4a3981ddb1dc5</x:v>
      </x:c>
      <x:c r="C236" s="6" t="str">
        <x:v>evidence_approved</x:v>
      </x:c>
      <x:c r="D236" s="6" t="str">
        <x:v>codex-evidence-review-v1</x:v>
      </x:c>
      <x:c r="E236" s="22" t="n">
        <x:v>46244.40206471065</x:v>
      </x:c>
      <x:c r="F236" s="6" t="str">
        <x:v>20</x:v>
      </x:c>
      <x:c r="G236" s="20" t="str">
        <x:v>observed_counterfactual;severe_failure;terminal</x:v>
      </x:c>
      <x:c r="H236" s="20" t="str">
        <x:v>browsergym/miniwob.click-dialog-2</x:v>
      </x:c>
      <x:c r="I236" s="6" t="str">
        <x:v>browsergym/miniwob.click-dialog-2</x:v>
      </x:c>
      <x:c r="J236" s="6" t="str">
        <x:v>cf-click-dialog-2-seed1004-hard_wrong_target</x:v>
      </x:c>
      <x:c r="K236" s="6" t="str">
        <x:v>0</x:v>
      </x:c>
      <x:c r="L236" s="20" t="str">
        <x:v>Click the button in the dialog box labeled "x".</x:v>
      </x:c>
      <x:c r="M236" s="20" t="str">
        <x:v>click("28", "left")</x:v>
      </x:c>
      <x:c r="N236" s="6" t="str">
        <x:v>0.0</x:v>
      </x:c>
      <x:c r="O236" s="20" t="str">
        <x:v>file:///root/autodl-tmp/miniwob-plusplus/miniwob/html/miniwob/click-dialog-2.html</x:v>
      </x:c>
      <x:c r="P236" s="20" t="str">
        <x:v>Click Dialog Task</x:v>
      </x:c>
      <x:c r="Q236" s="20" t="str">
        <x:v>RootWebArea 'Click Dialog Task', focused [17] dialog '', clickable, modal=False, describedby='dialog' StaticText '' [20] button 'Close', clickable [24] paragraph '' StaticText 'Pellentesque lorem velit condimentum felis.' [27] button 'Cancel', clickable, focused [28] button 'OK', clickable</x:v>
      </x:c>
      <x:c r="R236" s="20" t="str">
        <x:v>file:///root/autodl-tmp/miniwob-plusplus/miniwob/html/miniwob/click-dialog-2.html</x:v>
      </x:c>
      <x:c r="S236" s="20" t="str">
        <x:v>Click Dialog Task</x:v>
      </x:c>
      <x:c r="T236" s="20" t="str">
        <x:v>RootWebArea 'Click Dialog Task', focused [17] dialog '', clickable, modal=False, describedby='dialog' StaticText '' [20] button 'Close', clickable [24] paragraph '' StaticText 'Pellentesque lorem velit condimentum felis.' [27] button 'Cancel', clickable [28] button 'OK', clickable, focused</x:v>
      </x:c>
      <x:c r="U236" s="6" t="str">
        <x:v>0</x:v>
      </x:c>
      <x:c r="V236" s="6" t="str">
        <x:v>0</x:v>
      </x:c>
      <x:c r="W236" s="6" t="str">
        <x:v>0</x:v>
      </x:c>
      <x:c r="X236" s="6" t="str">
        <x:v>1</x:v>
      </x:c>
      <x:c r="Y236" s="6" t="str">
        <x:v>0</x:v>
      </x:c>
      <x:c r="Z236" s="6" t="str">
        <x:v>1</x:v>
      </x:c>
      <x:c r="AA236" s="6" t="str">
        <x:v>0.0</x:v>
      </x:c>
      <x:c r="AB236" s="20" t="str">
        <x:v>Codex证据复核v1：原始记录唯一匹配、环境实测、反事实配对ID完整、终止且非成功、奖励非正、队列标签与结果派生规则一致；非人工签字。</x:v>
      </x:c>
    </x:row>
    <x:row r="237" ht="46" customHeight="1">
      <x:c r="A237" s="6" t="str">
        <x:v>1</x:v>
      </x:c>
      <x:c r="B237" s="6" t="str">
        <x:v>0ebe1cc2c0796b246f75</x:v>
      </x:c>
      <x:c r="C237" s="6" t="str">
        <x:v>evidence_approved</x:v>
      </x:c>
      <x:c r="D237" s="6" t="str">
        <x:v>codex-evidence-review-v1</x:v>
      </x:c>
      <x:c r="E237" s="22" t="n">
        <x:v>46244.40206471065</x:v>
      </x:c>
      <x:c r="F237" s="6" t="str">
        <x:v>20</x:v>
      </x:c>
      <x:c r="G237" s="20" t="str">
        <x:v>observed_counterfactual;severe_failure;terminal</x:v>
      </x:c>
      <x:c r="H237" s="20" t="str">
        <x:v>browsergym/miniwob.choose-list</x:v>
      </x:c>
      <x:c r="I237" s="6" t="str">
        <x:v>browsergym/miniwob.choose-list</x:v>
      </x:c>
      <x:c r="J237" s="6" t="str">
        <x:v>cf-choose-list-seed1034-hard_wrong_target</x:v>
      </x:c>
      <x:c r="K237" s="6" t="str">
        <x:v>0</x:v>
      </x:c>
      <x:c r="L237" s="20" t="str">
        <x:v>Select Jade from the list and click Submit.</x:v>
      </x:c>
      <x:c r="M237" s="20" t="str">
        <x:v>click("22", "left")</x:v>
      </x:c>
      <x:c r="N237" s="6" t="str">
        <x:v>0.0</x:v>
      </x:c>
      <x:c r="O237" s="20" t="str">
        <x:v>file:///root/autodl-tmp/miniwob-plusplus/miniwob/html/miniwob/choose-list.html</x:v>
      </x:c>
      <x:c r="P237" s="20" t="str">
        <x:v>Choose List Task</x:v>
      </x:c>
      <x:c r="Q237" s="20" t="str">
        <x:v>RootWebArea 'Choose List Task', focused [13] combobox '' value='Noemi', hasPopup='menu', expanded=False [22] button 'Submit', clickable</x:v>
      </x:c>
      <x:c r="R237" s="20" t="str">
        <x:v>file:///root/autodl-tmp/miniwob-plusplus/miniwob/html/miniwob/choose-list.html</x:v>
      </x:c>
      <x:c r="S237" s="20" t="str">
        <x:v>Choose List Task</x:v>
      </x:c>
      <x:c r="T237" s="20" t="str">
        <x:v>RootWebArea 'Choose List Task', focused [13] combobox '' value='Noemi', hasPopup='menu', expanded=False [22] button 'Submit', clickable, focused</x:v>
      </x:c>
      <x:c r="U237" s="6" t="str">
        <x:v>0</x:v>
      </x:c>
      <x:c r="V237" s="6" t="str">
        <x:v>0</x:v>
      </x:c>
      <x:c r="W237" s="6" t="str">
        <x:v>0</x:v>
      </x:c>
      <x:c r="X237" s="6" t="str">
        <x:v>1</x:v>
      </x:c>
      <x:c r="Y237" s="6" t="str">
        <x:v>0</x:v>
      </x:c>
      <x:c r="Z237" s="6" t="str">
        <x:v>1</x:v>
      </x:c>
      <x:c r="AA237" s="6" t="str">
        <x:v>0.0</x:v>
      </x:c>
      <x:c r="AB237" s="20" t="str">
        <x:v>Codex证据复核v1：原始记录唯一匹配、环境实测、反事实配对ID完整、终止且非成功、奖励非正、队列标签与结果派生规则一致；非人工签字。</x:v>
      </x:c>
    </x:row>
    <x:row r="238" ht="46" customHeight="1">
      <x:c r="A238" s="6" t="str">
        <x:v>1</x:v>
      </x:c>
      <x:c r="B238" s="6" t="str">
        <x:v>f7e0b3f2fbefff1916db</x:v>
      </x:c>
      <x:c r="C238" s="6" t="str">
        <x:v>evidence_approved</x:v>
      </x:c>
      <x:c r="D238" s="6" t="str">
        <x:v>codex-evidence-review-v1</x:v>
      </x:c>
      <x:c r="E238" s="22" t="n">
        <x:v>46244.40206471065</x:v>
      </x:c>
      <x:c r="F238" s="6" t="str">
        <x:v>20</x:v>
      </x:c>
      <x:c r="G238" s="20" t="str">
        <x:v>observed_counterfactual;severe_failure;terminal</x:v>
      </x:c>
      <x:c r="H238" s="20" t="str">
        <x:v>browsergym/miniwob.click-collapsible</x:v>
      </x:c>
      <x:c r="I238" s="6" t="str">
        <x:v>browsergym/miniwob.click-collapsible</x:v>
      </x:c>
      <x:c r="J238" s="6" t="str">
        <x:v>cf-click-collapsible-seed1018-hard_wrong_target</x:v>
      </x:c>
      <x:c r="K238" s="6" t="str">
        <x:v>0</x:v>
      </x:c>
      <x:c r="L238" s="20" t="str">
        <x:v>Expand the section below and click submit.</x:v>
      </x:c>
      <x:c r="M238" s="20" t="str">
        <x:v>click("22", "left")</x:v>
      </x:c>
      <x:c r="N238" s="6" t="str">
        <x:v>0.0</x:v>
      </x:c>
      <x:c r="O238" s="20" t="str">
        <x:v>file:///root/autodl-tmp/miniwob-plusplus/miniwob/html/miniwob/click-collapsible.html</x:v>
      </x:c>
      <x:c r="P238" s="20" t="str">
        <x:v>Click Collapsible Task</x:v>
      </x:c>
      <x:c r="Q238" s="20" t="str">
        <x:v>RootWebArea 'Click Collapsible Task', focused [15] tablist '', multiselectable=False, orientation='horizontal' [16] tab 'Section #43', clickable, expanded=False, selected=False, controls='ui-id-2' [19] tab 'Submit', clickable, expanded=False, selected=False [22] button 'Submit', clickable</x:v>
      </x:c>
      <x:c r="R238" s="20" t="str">
        <x:v>file:///root/autodl-tmp/miniwob-plusplus/miniwob/html/miniwob/click-collapsible.html</x:v>
      </x:c>
      <x:c r="S238" s="20" t="str">
        <x:v>Click Collapsible Task</x:v>
      </x:c>
      <x:c r="T238" s="20" t="str">
        <x:v>RootWebArea 'Click Collapsible Task', focused [15] tablist '', multiselectable=False, orientation='horizontal' [16] tab 'Section #43', clickable, expanded=False, selected=False, controls='ui-id-2' [19] tab 'Submit', clickable, expanded=False, selected=False [22] button 'Submit', clickable, focused</x:v>
      </x:c>
      <x:c r="U238" s="6" t="str">
        <x:v>0</x:v>
      </x:c>
      <x:c r="V238" s="6" t="str">
        <x:v>0</x:v>
      </x:c>
      <x:c r="W238" s="6" t="str">
        <x:v>0</x:v>
      </x:c>
      <x:c r="X238" s="6" t="str">
        <x:v>1</x:v>
      </x:c>
      <x:c r="Y238" s="6" t="str">
        <x:v>0</x:v>
      </x:c>
      <x:c r="Z238" s="6" t="str">
        <x:v>1</x:v>
      </x:c>
      <x:c r="AA238" s="6" t="str">
        <x:v>0.0</x:v>
      </x:c>
      <x:c r="AB238" s="20" t="str">
        <x:v>Codex证据复核v1：原始记录唯一匹配、环境实测、反事实配对ID完整、终止且非成功、奖励非正、队列标签与结果派生规则一致；非人工签字。</x:v>
      </x:c>
    </x:row>
    <x:row r="239" ht="46" customHeight="1">
      <x:c r="A239" s="6" t="str">
        <x:v>1</x:v>
      </x:c>
      <x:c r="B239" s="6" t="str">
        <x:v>dbb23fa681566ac854bf</x:v>
      </x:c>
      <x:c r="C239" s="6" t="str">
        <x:v>evidence_approved</x:v>
      </x:c>
      <x:c r="D239" s="6" t="str">
        <x:v>codex-evidence-review-v1</x:v>
      </x:c>
      <x:c r="E239" s="22" t="n">
        <x:v>46244.40206471065</x:v>
      </x:c>
      <x:c r="F239" s="6" t="str">
        <x:v>20</x:v>
      </x:c>
      <x:c r="G239" s="20" t="str">
        <x:v>observed_counterfactual;severe_failure;terminal</x:v>
      </x:c>
      <x:c r="H239" s="20" t="str">
        <x:v>browsergym/miniwob.choose-list</x:v>
      </x:c>
      <x:c r="I239" s="6" t="str">
        <x:v>browsergym/miniwob.choose-list</x:v>
      </x:c>
      <x:c r="J239" s="6" t="str">
        <x:v>cf-choose-list-seed1007-hard_wrong_target</x:v>
      </x:c>
      <x:c r="K239" s="6" t="str">
        <x:v>0</x:v>
      </x:c>
      <x:c r="L239" s="20" t="str">
        <x:v>Select Trinidad and Tobago from the list and click Submit.</x:v>
      </x:c>
      <x:c r="M239" s="20" t="str">
        <x:v>click("19", "left")</x:v>
      </x:c>
      <x:c r="N239" s="6" t="str">
        <x:v>0.0</x:v>
      </x:c>
      <x:c r="O239" s="20" t="str">
        <x:v>file:///root/autodl-tmp/miniwob-plusplus/miniwob/html/miniwob/choose-list.html</x:v>
      </x:c>
      <x:c r="P239" s="20" t="str">
        <x:v>Choose List Task</x:v>
      </x:c>
      <x:c r="Q239" s="20" t="str">
        <x:v>RootWebArea 'Choose List Task', focused [13] combobox '' value='Namibia', hasPopup='menu', expanded=False [19] button 'Submit', clickable</x:v>
      </x:c>
      <x:c r="R239" s="20" t="str">
        <x:v>file:///root/autodl-tmp/miniwob-plusplus/miniwob/html/miniwob/choose-list.html</x:v>
      </x:c>
      <x:c r="S239" s="20" t="str">
        <x:v>Choose List Task</x:v>
      </x:c>
      <x:c r="T239" s="20" t="str">
        <x:v>RootWebArea 'Choose List Task', focused [13] combobox '' value='Namibia', hasPopup='menu', expanded=False [19] button 'Submit', clickable, focused</x:v>
      </x:c>
      <x:c r="U239" s="6" t="str">
        <x:v>0</x:v>
      </x:c>
      <x:c r="V239" s="6" t="str">
        <x:v>0</x:v>
      </x:c>
      <x:c r="W239" s="6" t="str">
        <x:v>0</x:v>
      </x:c>
      <x:c r="X239" s="6" t="str">
        <x:v>1</x:v>
      </x:c>
      <x:c r="Y239" s="6" t="str">
        <x:v>0</x:v>
      </x:c>
      <x:c r="Z239" s="6" t="str">
        <x:v>1</x:v>
      </x:c>
      <x:c r="AA239" s="6" t="str">
        <x:v>0.0</x:v>
      </x:c>
      <x:c r="AB239" s="20" t="str">
        <x:v>Codex证据复核v1：原始记录唯一匹配、环境实测、反事实配对ID完整、终止且非成功、奖励非正、队列标签与结果派生规则一致；非人工签字。</x:v>
      </x:c>
    </x:row>
    <x:row r="240" ht="46" customHeight="1">
      <x:c r="A240" s="6" t="str">
        <x:v>1</x:v>
      </x:c>
      <x:c r="B240" s="6" t="str">
        <x:v>e405b03bc3fc96e4b85b</x:v>
      </x:c>
      <x:c r="C240" s="6" t="str">
        <x:v>evidence_approved</x:v>
      </x:c>
      <x:c r="D240" s="6" t="str">
        <x:v>codex-evidence-review-v1</x:v>
      </x:c>
      <x:c r="E240" s="22" t="n">
        <x:v>46244.40206471065</x:v>
      </x:c>
      <x:c r="F240" s="6" t="str">
        <x:v>20</x:v>
      </x:c>
      <x:c r="G240" s="20" t="str">
        <x:v>observed_counterfactual;severe_failure;terminal</x:v>
      </x:c>
      <x:c r="H240" s="20" t="str">
        <x:v>browsergym/miniwob.click-collapsible</x:v>
      </x:c>
      <x:c r="I240" s="6" t="str">
        <x:v>browsergym/miniwob.click-collapsible</x:v>
      </x:c>
      <x:c r="J240" s="6" t="str">
        <x:v>cf-click-collapsible-seed1020-hard_wrong_target</x:v>
      </x:c>
      <x:c r="K240" s="6" t="str">
        <x:v>0</x:v>
      </x:c>
      <x:c r="L240" s="20" t="str">
        <x:v>Expand the section below and click submit.</x:v>
      </x:c>
      <x:c r="M240" s="20" t="str">
        <x:v>click("22", "left")</x:v>
      </x:c>
      <x:c r="N240" s="6" t="str">
        <x:v>0.0</x:v>
      </x:c>
      <x:c r="O240" s="20" t="str">
        <x:v>file:///root/autodl-tmp/miniwob-plusplus/miniwob/html/miniwob/click-collapsible.html</x:v>
      </x:c>
      <x:c r="P240" s="20" t="str">
        <x:v>Click Collapsible Task</x:v>
      </x:c>
      <x:c r="Q240" s="20" t="str">
        <x:v>RootWebArea 'Click Collapsible Task', focused [15] tablist '', multiselectable=False, orientation='horizontal' [16] tab 'Section #20', clickable, expanded=False, selected=False, controls='ui-id-2' [19] tab 'Submit', clickable, expanded=False, selected=False [22] button 'Submit', clickable</x:v>
      </x:c>
      <x:c r="R240" s="20" t="str">
        <x:v>file:///root/autodl-tmp/miniwob-plusplus/miniwob/html/miniwob/click-collapsible.html</x:v>
      </x:c>
      <x:c r="S240" s="20" t="str">
        <x:v>Click Collapsible Task</x:v>
      </x:c>
      <x:c r="T240" s="20" t="str">
        <x:v>RootWebArea 'Click Collapsible Task', focused [15] tablist '', multiselectable=False, orientation='horizontal' [16] tab 'Section #20', clickable, expanded=False, selected=False, controls='ui-id-2' [19] tab 'Submit', clickable, expanded=False, selected=False [22] button 'Submit', clickable, focused</x:v>
      </x:c>
      <x:c r="U240" s="6" t="str">
        <x:v>0</x:v>
      </x:c>
      <x:c r="V240" s="6" t="str">
        <x:v>0</x:v>
      </x:c>
      <x:c r="W240" s="6" t="str">
        <x:v>0</x:v>
      </x:c>
      <x:c r="X240" s="6" t="str">
        <x:v>1</x:v>
      </x:c>
      <x:c r="Y240" s="6" t="str">
        <x:v>0</x:v>
      </x:c>
      <x:c r="Z240" s="6" t="str">
        <x:v>1</x:v>
      </x:c>
      <x:c r="AA240" s="6" t="str">
        <x:v>0.0</x:v>
      </x:c>
      <x:c r="AB240" s="20" t="str">
        <x:v>Codex证据复核v1：原始记录唯一匹配、环境实测、反事实配对ID完整、终止且非成功、奖励非正、队列标签与结果派生规则一致；非人工签字。</x:v>
      </x:c>
    </x:row>
    <x:row r="241" ht="46" customHeight="1">
      <x:c r="A241" s="6" t="str">
        <x:v>1</x:v>
      </x:c>
      <x:c r="B241" s="6" t="str">
        <x:v>f6d75955c81a70f688aa</x:v>
      </x:c>
      <x:c r="C241" s="6" t="str">
        <x:v>evidence_approved</x:v>
      </x:c>
      <x:c r="D241" s="6" t="str">
        <x:v>codex-evidence-review-v1</x:v>
      </x:c>
      <x:c r="E241" s="22" t="n">
        <x:v>46244.40206471065</x:v>
      </x:c>
      <x:c r="F241" s="6" t="str">
        <x:v>20</x:v>
      </x:c>
      <x:c r="G241" s="20" t="str">
        <x:v>observed_counterfactual;severe_failure;terminal</x:v>
      </x:c>
      <x:c r="H241" s="20" t="str">
        <x:v>browsergym/miniwob.enter-password</x:v>
      </x:c>
      <x:c r="I241" s="6" t="str">
        <x:v>browsergym/miniwob.enter-password</x:v>
      </x:c>
      <x:c r="J241" s="6" t="str">
        <x:v>cf-enter-password-seed1033-hard_wrong_target</x:v>
      </x:c>
      <x:c r="K241" s="6" t="str">
        <x:v>0</x:v>
      </x:c>
      <x:c r="L241" s="20" t="str">
        <x:v>Enter the password "pb42e" into both text fields and press submit.</x:v>
      </x:c>
      <x:c r="M241" s="20" t="str">
        <x:v>click("20", "left")</x:v>
      </x:c>
      <x:c r="N241" s="6" t="str">
        <x:v>0.0</x:v>
      </x:c>
      <x:c r="O241" s="20" t="str">
        <x:v>file:///root/autodl-tmp/miniwob-plusplus/miniwob/html/miniwob/enter-password.html</x:v>
      </x:c>
      <x:c r="P241" s="20" t="str">
        <x:v>Enter Password Task</x:v>
      </x:c>
      <x:c r="Q241" s="20" t="str">
        <x:v>RootWebArea 'Enter Password Task', focused [14] paragraph '' [15] LabelText '' StaticText 'Password' [16] textbox '', clickable [17] paragraph '' [18] LabelText '' StaticText 'Verify password' [19] textbox '', clickable [20] button 'Submit', clickable</x:v>
      </x:c>
      <x:c r="R241" s="20" t="str">
        <x:v>file:///root/autodl-tmp/miniwob-plusplus/miniwob/html/miniwob/enter-password.html</x:v>
      </x:c>
      <x:c r="S241" s="20" t="str">
        <x:v>Enter Password Task</x:v>
      </x:c>
      <x:c r="T241" s="20" t="str">
        <x:v>RootWebArea 'Enter Password Task', focused [14] paragraph '' [15] LabelText '' StaticText 'Password' [16] textbox '', clickable [17] paragraph '' [18] LabelText '' StaticText 'Verify password' [19] textbox '', clickable [20] button 'Submit', clickable, focused</x:v>
      </x:c>
      <x:c r="U241" s="6" t="str">
        <x:v>0</x:v>
      </x:c>
      <x:c r="V241" s="6" t="str">
        <x:v>0</x:v>
      </x:c>
      <x:c r="W241" s="6" t="str">
        <x:v>0</x:v>
      </x:c>
      <x:c r="X241" s="6" t="str">
        <x:v>1</x:v>
      </x:c>
      <x:c r="Y241" s="6" t="str">
        <x:v>0</x:v>
      </x:c>
      <x:c r="Z241" s="6" t="str">
        <x:v>1</x:v>
      </x:c>
      <x:c r="AA241" s="6" t="str">
        <x:v>0.0</x:v>
      </x:c>
      <x:c r="AB241" s="20" t="str">
        <x:v>Codex证据复核v1：原始记录唯一匹配、环境实测、反事实配对ID完整、终止且非成功、奖励非正、队列标签与结果派生规则一致；非人工签字。</x:v>
      </x:c>
    </x:row>
    <x:row r="242" ht="46" customHeight="1">
      <x:c r="A242" s="6" t="str">
        <x:v>1</x:v>
      </x:c>
      <x:c r="B242" s="6" t="str">
        <x:v>4ff95f845378287ccf15</x:v>
      </x:c>
      <x:c r="C242" s="6" t="str">
        <x:v>evidence_approved</x:v>
      </x:c>
      <x:c r="D242" s="6" t="str">
        <x:v>codex-evidence-review-v1</x:v>
      </x:c>
      <x:c r="E242" s="22" t="n">
        <x:v>46244.40206471065</x:v>
      </x:c>
      <x:c r="F242" s="6" t="str">
        <x:v>20</x:v>
      </x:c>
      <x:c r="G242" s="20" t="str">
        <x:v>observed_counterfactual;severe_failure;terminal</x:v>
      </x:c>
      <x:c r="H242" s="20" t="str">
        <x:v>browsergym/miniwob.click-widget</x:v>
      </x:c>
      <x:c r="I242" s="6" t="str">
        <x:v>browsergym/miniwob.click-widget</x:v>
      </x:c>
      <x:c r="J242" s="6" t="str">
        <x:v>cf-click-widget-seed1016-hard_wrong_target</x:v>
      </x:c>
      <x:c r="K242" s="6" t="str">
        <x:v>0</x:v>
      </x:c>
      <x:c r="L242" s="20" t="str">
        <x:v>Click on a "textarea" widget.</x:v>
      </x:c>
      <x:c r="M242" s="20" t="str">
        <x:v>click("15", "left")</x:v>
      </x:c>
      <x:c r="N242" s="6" t="str">
        <x:v>0.0</x:v>
      </x:c>
      <x:c r="O242" s="20" t="str">
        <x:v>file:///root/autodl-tmp/miniwob-plusplus/miniwob/html/miniwob/click-widget.html</x:v>
      </x:c>
      <x:c r="P242" s="20" t="str">
        <x:v>Click Widget Task</x:v>
      </x:c>
      <x:c r="Q242" s="20" t="str">
        <x:v>RootWebArea 'Click Widget Task', focused [14] LabelText '', clickable [15] checkbox 'v94', clickable, checked='false' StaticText 'v94' [17] LabelText '', clickable [18] checkbox 'OAyQ', clickable, checked='false' StaticText 'OAyQ' [20] textbox '' value='2dour', clickable StaticText '2dour' [22] textbox '' value='r' StaticText 'r' [24] textbox '' value='gd' StaticText 'gd'</x:v>
      </x:c>
      <x:c r="R242" s="20" t="str">
        <x:v>file:///root/autodl-tmp/miniwob-plusplus/miniwob/html/miniwob/click-widget.html</x:v>
      </x:c>
      <x:c r="S242" s="20" t="str">
        <x:v>Click Widget Task</x:v>
      </x:c>
      <x:c r="T242" s="20" t="str">
        <x:v>RootWebArea 'Click Widget Task', focused [14] LabelText '', clickable [15] checkbox 'v94', clickable, focused, checked='true' StaticText 'v94' [17] LabelText '', clickable [18] checkbox 'OAyQ', clickable, checked='false' StaticText 'OAyQ' [20] textbox '' value='2dour', clickable StaticText '2dour' [22] textbox '' value='r' StaticText 'r' [24] textbox '' value='gd' StaticText 'gd'</x:v>
      </x:c>
      <x:c r="U242" s="6" t="str">
        <x:v>0</x:v>
      </x:c>
      <x:c r="V242" s="6" t="str">
        <x:v>0</x:v>
      </x:c>
      <x:c r="W242" s="6" t="str">
        <x:v>0</x:v>
      </x:c>
      <x:c r="X242" s="6" t="str">
        <x:v>1</x:v>
      </x:c>
      <x:c r="Y242" s="6" t="str">
        <x:v>0</x:v>
      </x:c>
      <x:c r="Z242" s="6" t="str">
        <x:v>1</x:v>
      </x:c>
      <x:c r="AA242" s="6" t="str">
        <x:v>0.0</x:v>
      </x:c>
      <x:c r="AB242" s="20" t="str">
        <x:v>Codex证据复核v1：原始记录唯一匹配、环境实测、反事实配对ID完整、终止且非成功、奖励非正、队列标签与结果派生规则一致；非人工签字。</x:v>
      </x:c>
    </x:row>
    <x:row r="243" ht="46" customHeight="1">
      <x:c r="A243" s="6" t="str">
        <x:v>1</x:v>
      </x:c>
      <x:c r="B243" s="6" t="str">
        <x:v>10c39fd216028cce2987</x:v>
      </x:c>
      <x:c r="C243" s="6" t="str">
        <x:v>evidence_approved</x:v>
      </x:c>
      <x:c r="D243" s="6" t="str">
        <x:v>codex-evidence-review-v1</x:v>
      </x:c>
      <x:c r="E243" s="22" t="n">
        <x:v>46244.40206471065</x:v>
      </x:c>
      <x:c r="F243" s="6" t="str">
        <x:v>20</x:v>
      </x:c>
      <x:c r="G243" s="20" t="str">
        <x:v>observed_counterfactual;severe_failure;terminal</x:v>
      </x:c>
      <x:c r="H243" s="20" t="str">
        <x:v>browsergym/miniwob.enter-text-dynamic</x:v>
      </x:c>
      <x:c r="I243" s="6" t="str">
        <x:v>browsergym/miniwob.enter-text-dynamic</x:v>
      </x:c>
      <x:c r="J243" s="6" t="str">
        <x:v>cf-enter-text-dynamic-seed1023-hard_wrong_target</x:v>
      </x:c>
      <x:c r="K243" s="6" t="str">
        <x:v>0</x:v>
      </x:c>
      <x:c r="L243" s="20" t="str">
        <x:v>Enter "7C" into the text field and press Submit.</x:v>
      </x:c>
      <x:c r="M243" s="20" t="str">
        <x:v>click("15", "left")</x:v>
      </x:c>
      <x:c r="N243" s="6" t="str">
        <x:v>0.0</x:v>
      </x:c>
      <x:c r="O243" s="20" t="str">
        <x:v>file:///root/autodl-tmp/miniwob-plusplus/miniwob/html/miniwob/enter-text-dynamic.html</x:v>
      </x:c>
      <x:c r="P243" s="20" t="str">
        <x:v>Enter Dynamic Text Task</x:v>
      </x:c>
      <x:c r="Q243" s="20" t="str">
        <x:v>RootWebArea 'Enter Dynamic Text Task', focused [14] textbox '', clickable [15] button 'Submit', clickable</x:v>
      </x:c>
      <x:c r="R243" s="20" t="str">
        <x:v>file:///root/autodl-tmp/miniwob-plusplus/miniwob/html/miniwob/enter-text-dynamic.html</x:v>
      </x:c>
      <x:c r="S243" s="20" t="str">
        <x:v>Enter Dynamic Text Task</x:v>
      </x:c>
      <x:c r="T243" s="20" t="str">
        <x:v>RootWebArea 'Enter Dynamic Text Task', focused [14] textbox '', clickable [15] button 'Submit', clickable, focused</x:v>
      </x:c>
      <x:c r="U243" s="6" t="str">
        <x:v>0</x:v>
      </x:c>
      <x:c r="V243" s="6" t="str">
        <x:v>0</x:v>
      </x:c>
      <x:c r="W243" s="6" t="str">
        <x:v>0</x:v>
      </x:c>
      <x:c r="X243" s="6" t="str">
        <x:v>1</x:v>
      </x:c>
      <x:c r="Y243" s="6" t="str">
        <x:v>0</x:v>
      </x:c>
      <x:c r="Z243" s="6" t="str">
        <x:v>1</x:v>
      </x:c>
      <x:c r="AA243" s="6" t="str">
        <x:v>0.0</x:v>
      </x:c>
      <x:c r="AB243" s="20" t="str">
        <x:v>Codex证据复核v1：原始记录唯一匹配、环境实测、反事实配对ID完整、终止且非成功、奖励非正、队列标签与结果派生规则一致；非人工签字。</x:v>
      </x:c>
    </x:row>
    <x:row r="244" ht="46" customHeight="1">
      <x:c r="A244" s="6" t="str">
        <x:v>1</x:v>
      </x:c>
      <x:c r="B244" s="6" t="str">
        <x:v>e64fcc1cf792ed840c5a</x:v>
      </x:c>
      <x:c r="C244" s="6" t="str">
        <x:v>evidence_approved</x:v>
      </x:c>
      <x:c r="D244" s="6" t="str">
        <x:v>codex-evidence-review-v1</x:v>
      </x:c>
      <x:c r="E244" s="22" t="n">
        <x:v>46244.40206471065</x:v>
      </x:c>
      <x:c r="F244" s="6" t="str">
        <x:v>20</x:v>
      </x:c>
      <x:c r="G244" s="20" t="str">
        <x:v>observed_counterfactual;severe_failure;terminal</x:v>
      </x:c>
      <x:c r="H244" s="20" t="str">
        <x:v>browsergym/miniwob.scroll-text</x:v>
      </x:c>
      <x:c r="I244" s="6" t="str">
        <x:v>browsergym/miniwob.scroll-text</x:v>
      </x:c>
      <x:c r="J244" s="6" t="str">
        <x:v>cf-scroll-text-seed1018-hard_wrong_target</x:v>
      </x:c>
      <x:c r="K244" s="6" t="str">
        <x:v>0</x:v>
      </x:c>
      <x:c r="L244" s="20" t="str">
        <x:v>Find the last word in the text area, enter it into the text field and hit Submit.</x:v>
      </x:c>
      <x:c r="M244" s="20" t="str">
        <x:v>click("15", "left")</x:v>
      </x:c>
      <x:c r="N244" s="6" t="str">
        <x:v>0.0</x:v>
      </x:c>
      <x:c r="O244" s="20" t="str">
        <x:v>file:///root/autodl-tmp/miniwob-plusplus/miniwob/html/miniwob/scroll-text.html</x:v>
      </x:c>
      <x:c r="P244" s="20" t="str">
        <x:v>Scroll Text Task</x:v>
      </x:c>
      <x:c r="Q244" s="20" t="str">
        <x:v>RootWebArea 'Scroll Text Task', focused [13] textbox '' value='Non. Nunc nibh aliquet. Elit porta magna et eget sed. Et. Vitae orci. Odio neque dignissim mauris pharetra odio ultrices proin tellus. A,. Diam ut tempus nisi sed. Quis ut vel scelerisque vivamus. Non aenean aenean sem. In purus. Maecenas laoreet pharetra, quam nulla integer id habitant. Volutpat turpis id euismod. Feugiat enim velit, nisl. Auctor mauris turpis turpis lorem nam vel sit scelerisque cursus imperdiet. Risus turpis. Nibh lorem egestas nec nec. Leo pharetra. Eu, lectus cursus rutrum eleifend mauris mi enim velit,. Mattis ultrices elit. Risus convallis et. … StaticText 'Non. Nunc nibh aliquet. Elit porta magna et eget sed. Et. Vitae orci. Odio neque dignissim mauris pharetra odio ultrices proin tellus. A,. Diam ut tempus nisi sed. Quis ut vel scelerisque vivamus. Non aenean aenean sem. In purus. Maecenas laoreet p…</x:v>
      </x:c>
      <x:c r="R244" s="20" t="str">
        <x:v>file:///root/autodl-tmp/miniwob-plusplus/miniwob/html/miniwob/scroll-text.html</x:v>
      </x:c>
      <x:c r="S244" s="20" t="str">
        <x:v>Scroll Text Task</x:v>
      </x:c>
      <x:c r="T244" s="20" t="str">
        <x:v>RootWebArea 'Scroll Text Task', focused [13] textbox '' value='Non. Nunc nibh aliquet. Elit porta magna et eget sed. Et. Vitae orci. Odio neque dignissim mauris pharetra odio ultrices proin tellus. A,. Diam ut tempus nisi sed. Quis ut vel scelerisque vivamus. Non aenean aenean sem. In purus. Maecenas laoreet pharetra, quam nulla integer id habitant. Volutpat turpis id euismod. Feugiat enim velit, nisl. Auctor mauris turpis turpis lorem nam vel sit scelerisque cursus imperdiet. Risus turpis. Nibh lorem egestas nec nec. Leo pharetra. Eu, lectus cursus rutrum eleifend mauris mi enim velit,. Mattis ultrices elit. Risus convallis et. … StaticText 'Non. Nunc nibh aliquet. Elit porta magna et eget sed. Et. Vitae orci. Odio neque dignissim mauris pharetra odio ultrices proin tellus. A,. Diam ut tempus nisi sed. Quis ut vel scelerisque vivamus. Non aenean aenean sem. In purus. Maecenas laoreet p…</x:v>
      </x:c>
      <x:c r="U244" s="6" t="str">
        <x:v>0</x:v>
      </x:c>
      <x:c r="V244" s="6" t="str">
        <x:v>0</x:v>
      </x:c>
      <x:c r="W244" s="6" t="str">
        <x:v>0</x:v>
      </x:c>
      <x:c r="X244" s="6" t="str">
        <x:v>1</x:v>
      </x:c>
      <x:c r="Y244" s="6" t="str">
        <x:v>0</x:v>
      </x:c>
      <x:c r="Z244" s="6" t="str">
        <x:v>1</x:v>
      </x:c>
      <x:c r="AA244" s="6" t="str">
        <x:v>0.0</x:v>
      </x:c>
      <x:c r="AB244" s="20" t="str">
        <x:v>Codex证据复核v1：原始记录唯一匹配、环境实测、反事实配对ID完整、终止且非成功、奖励非正、队列标签与结果派生规则一致；非人工签字。</x:v>
      </x:c>
    </x:row>
    <x:row r="245" ht="46" customHeight="1">
      <x:c r="A245" s="6" t="str">
        <x:v>1</x:v>
      </x:c>
      <x:c r="B245" s="6" t="str">
        <x:v>9fe1723c2a4b92f968cd</x:v>
      </x:c>
      <x:c r="C245" s="6" t="str">
        <x:v>evidence_approved</x:v>
      </x:c>
      <x:c r="D245" s="6" t="str">
        <x:v>codex-evidence-review-v1</x:v>
      </x:c>
      <x:c r="E245" s="22" t="n">
        <x:v>46244.40206471065</x:v>
      </x:c>
      <x:c r="F245" s="6" t="str">
        <x:v>20</x:v>
      </x:c>
      <x:c r="G245" s="20" t="str">
        <x:v>observed_counterfactual;severe_failure;terminal</x:v>
      </x:c>
      <x:c r="H245" s="20" t="str">
        <x:v>browsergym/miniwob.click-menu</x:v>
      </x:c>
      <x:c r="I245" s="6" t="str">
        <x:v>browsergym/miniwob.click-menu</x:v>
      </x:c>
      <x:c r="J245" s="6" t="str">
        <x:v>cf-click-menu-seed1014-wrong_action_type</x:v>
      </x:c>
      <x:c r="K245" s="6" t="str">
        <x:v>0</x:v>
      </x:c>
      <x:c r="L245" s="20" t="str">
        <x:v>Select Lotte&gt;Cecilia&gt;Matelda</x:v>
      </x:c>
      <x:c r="M245" s="20" t="str">
        <x:v>click("21", "left")</x:v>
      </x:c>
      <x:c r="N245" s="6" t="str">
        <x:v>0.0</x:v>
      </x:c>
      <x:c r="O245" s="20" t="str">
        <x:v>file:///root/autodl-tmp/miniwob-plusplus/miniwob/html/miniwob/click-menu.html</x:v>
      </x:c>
      <x:c r="P245" s="20" t="str">
        <x:v>Click Menu Task</x:v>
      </x:c>
      <x:c r="Q245" s="20" t="str">
        <x:v>RootWebArea 'Click Menu Task', focused [17] menu '', clickable, orientation='vertical' image '' [19] menuitem 'Karla' image '' [21] menuitem 'Lotte', hasPopup='menu'</x:v>
      </x:c>
      <x:c r="R245" s="20" t="str">
        <x:v>file:///root/autodl-tmp/miniwob-plusplus/miniwob/html/miniwob/click-menu.html</x:v>
      </x:c>
      <x:c r="S245" s="20" t="str">
        <x:v>Click Menu Task</x:v>
      </x:c>
      <x:c r="T245" s="20" t="str">
        <x:v>RootWebArea 'Click Menu Task', focused [17] menu '', clickable, orientation='vertical' image '' [19] menuitem 'Karla' image '' [21] menuitem 'Lotte', hasPopup='menu' [23] menu '', orientation='vertical' image '' [25] menuitem 'Cecilia', hasPopup='menu' image '' [37] menuitem 'Lilyan', hasPopup='menu'</x:v>
      </x:c>
      <x:c r="U245" s="6" t="str">
        <x:v>0</x:v>
      </x:c>
      <x:c r="V245" s="6" t="str">
        <x:v>0</x:v>
      </x:c>
      <x:c r="W245" s="6" t="str">
        <x:v>0</x:v>
      </x:c>
      <x:c r="X245" s="6" t="str">
        <x:v>1</x:v>
      </x:c>
      <x:c r="Y245" s="6" t="str">
        <x:v>0</x:v>
      </x:c>
      <x:c r="Z245" s="6" t="str">
        <x:v>1</x:v>
      </x:c>
      <x:c r="AA245" s="6" t="str">
        <x:v>0.0</x:v>
      </x:c>
      <x:c r="AB245" s="20" t="str">
        <x:v>Codex证据复核v1：原始记录唯一匹配、环境实测、反事实配对ID完整、终止且非成功、奖励非正、队列标签与结果派生规则一致；非人工签字。</x:v>
      </x:c>
    </x:row>
    <x:row r="246" ht="46" customHeight="1">
      <x:c r="A246" s="6" t="str">
        <x:v>1</x:v>
      </x:c>
      <x:c r="B246" s="6" t="str">
        <x:v>f62c2ab793f370c88d2e</x:v>
      </x:c>
      <x:c r="C246" s="6" t="str">
        <x:v>evidence_approved</x:v>
      </x:c>
      <x:c r="D246" s="6" t="str">
        <x:v>codex-evidence-review-v1</x:v>
      </x:c>
      <x:c r="E246" s="22" t="n">
        <x:v>46244.40206471065</x:v>
      </x:c>
      <x:c r="F246" s="6" t="str">
        <x:v>20</x:v>
      </x:c>
      <x:c r="G246" s="20" t="str">
        <x:v>observed_counterfactual;severe_failure;terminal</x:v>
      </x:c>
      <x:c r="H246" s="20" t="str">
        <x:v>browsergym/miniwob.click-widget</x:v>
      </x:c>
      <x:c r="I246" s="6" t="str">
        <x:v>browsergym/miniwob.click-widget</x:v>
      </x:c>
      <x:c r="J246" s="6" t="str">
        <x:v>cf-click-widget-seed1018-hard_wrong_target</x:v>
      </x:c>
      <x:c r="K246" s="6" t="str">
        <x:v>0</x:v>
      </x:c>
      <x:c r="L246" s="20" t="str">
        <x:v>Click on a "button" widget.</x:v>
      </x:c>
      <x:c r="M246" s="20" t="str">
        <x:v>click("19", "left")</x:v>
      </x:c>
      <x:c r="N246" s="6" t="str">
        <x:v>0.0</x:v>
      </x:c>
      <x:c r="O246" s="20" t="str">
        <x:v>file:///root/autodl-tmp/miniwob-plusplus/miniwob/html/miniwob/click-widget.html</x:v>
      </x:c>
      <x:c r="P246" s="20" t="str">
        <x:v>Click Widget Task</x:v>
      </x:c>
      <x:c r="Q246" s="20" t="str">
        <x:v>RootWebArea 'Click Widget Task', focused [14] button 'prAM' [16] textbox '' value='r', clickable StaticText 'r' [18] LabelText '', clickable [19] radio 'mZ', clickable, checked='false' StaticText 'mZ' [21] LabelText '', clickable [22] radio 'Tdsb', clickable, checked='false' StaticText 'Tdsb' [24] textbox '' value='m', clickable StaticText 'm'</x:v>
      </x:c>
      <x:c r="R246" s="20" t="str">
        <x:v>file:///root/autodl-tmp/miniwob-plusplus/miniwob/html/miniwob/click-widget.html</x:v>
      </x:c>
      <x:c r="S246" s="20" t="str">
        <x:v>Click Widget Task</x:v>
      </x:c>
      <x:c r="T246" s="20" t="str">
        <x:v>RootWebArea 'Click Widget Task', focused [14] button 'prAM' [16] textbox '' value='r', clickable StaticText 'r' [18] LabelText '', clickable [19] radio 'mZ', clickable, focused, checked='true' StaticText 'mZ' [21] LabelText '', clickable [22] radio 'Tdsb', clickable, checked='false' StaticText 'Tdsb' [24] textbox '' value='m', clickable StaticText 'm'</x:v>
      </x:c>
      <x:c r="U246" s="6" t="str">
        <x:v>0</x:v>
      </x:c>
      <x:c r="V246" s="6" t="str">
        <x:v>0</x:v>
      </x:c>
      <x:c r="W246" s="6" t="str">
        <x:v>0</x:v>
      </x:c>
      <x:c r="X246" s="6" t="str">
        <x:v>1</x:v>
      </x:c>
      <x:c r="Y246" s="6" t="str">
        <x:v>0</x:v>
      </x:c>
      <x:c r="Z246" s="6" t="str">
        <x:v>1</x:v>
      </x:c>
      <x:c r="AA246" s="6" t="str">
        <x:v>0.0</x:v>
      </x:c>
      <x:c r="AB246" s="20" t="str">
        <x:v>Codex证据复核v1：原始记录唯一匹配、环境实测、反事实配对ID完整、终止且非成功、奖励非正、队列标签与结果派生规则一致；非人工签字。</x:v>
      </x:c>
    </x:row>
    <x:row r="247" ht="46" customHeight="1">
      <x:c r="A247" s="6" t="str">
        <x:v>1</x:v>
      </x:c>
      <x:c r="B247" s="6" t="str">
        <x:v>22dd05365ac0c8b47ee5</x:v>
      </x:c>
      <x:c r="C247" s="6" t="str">
        <x:v>evidence_approved</x:v>
      </x:c>
      <x:c r="D247" s="6" t="str">
        <x:v>codex-evidence-review-v1</x:v>
      </x:c>
      <x:c r="E247" s="22" t="n">
        <x:v>46244.40206471065</x:v>
      </x:c>
      <x:c r="F247" s="6" t="str">
        <x:v>20</x:v>
      </x:c>
      <x:c r="G247" s="20" t="str">
        <x:v>observed_counterfactual;severe_failure;terminal</x:v>
      </x:c>
      <x:c r="H247" s="20" t="str">
        <x:v>browsergym/miniwob.enter-text</x:v>
      </x:c>
      <x:c r="I247" s="6" t="str">
        <x:v>browsergym/miniwob.enter-text</x:v>
      </x:c>
      <x:c r="J247" s="6" t="str">
        <x:v>cf-enter-text-seed1024-hard_wrong_target</x:v>
      </x:c>
      <x:c r="K247" s="6" t="str">
        <x:v>0</x:v>
      </x:c>
      <x:c r="L247" s="20" t="str">
        <x:v>Enter "Joye" into the text field and press Submit.</x:v>
      </x:c>
      <x:c r="M247" s="20" t="str">
        <x:v>click("15", "left")</x:v>
      </x:c>
      <x:c r="N247" s="6" t="str">
        <x:v>0.0</x:v>
      </x:c>
      <x:c r="O247" s="20" t="str">
        <x:v>file:///root/autodl-tmp/miniwob-plusplus/miniwob/html/miniwob/enter-text.html</x:v>
      </x:c>
      <x:c r="P247" s="20" t="str">
        <x:v>Enter Text Task</x:v>
      </x:c>
      <x:c r="Q247" s="20" t="str">
        <x:v>RootWebArea 'Enter Text Task', focused [14] textbox '', clickable [15] button 'Submit', clickable</x:v>
      </x:c>
      <x:c r="R247" s="20" t="str">
        <x:v>file:///root/autodl-tmp/miniwob-plusplus/miniwob/html/miniwob/enter-text.html</x:v>
      </x:c>
      <x:c r="S247" s="20" t="str">
        <x:v>Enter Text Task</x:v>
      </x:c>
      <x:c r="T247" s="20" t="str">
        <x:v>RootWebArea 'Enter Text Task', focused [14] textbox '', clickable [15] button 'Submit', clickable, focused</x:v>
      </x:c>
      <x:c r="U247" s="6" t="str">
        <x:v>0</x:v>
      </x:c>
      <x:c r="V247" s="6" t="str">
        <x:v>0</x:v>
      </x:c>
      <x:c r="W247" s="6" t="str">
        <x:v>0</x:v>
      </x:c>
      <x:c r="X247" s="6" t="str">
        <x:v>1</x:v>
      </x:c>
      <x:c r="Y247" s="6" t="str">
        <x:v>0</x:v>
      </x:c>
      <x:c r="Z247" s="6" t="str">
        <x:v>1</x:v>
      </x:c>
      <x:c r="AA247" s="6" t="str">
        <x:v>0.0</x:v>
      </x:c>
      <x:c r="AB247" s="20" t="str">
        <x:v>Codex证据复核v1：原始记录唯一匹配、环境实测、反事实配对ID完整、终止且非成功、奖励非正、队列标签与结果派生规则一致；非人工签字。</x:v>
      </x:c>
    </x:row>
    <x:row r="248" ht="46" customHeight="1">
      <x:c r="A248" s="6" t="str">
        <x:v>1</x:v>
      </x:c>
      <x:c r="B248" s="6" t="str">
        <x:v>995423ba187c53a746e9</x:v>
      </x:c>
      <x:c r="C248" s="6" t="str">
        <x:v>evidence_approved</x:v>
      </x:c>
      <x:c r="D248" s="6" t="str">
        <x:v>codex-evidence-review-v1</x:v>
      </x:c>
      <x:c r="E248" s="22" t="n">
        <x:v>46244.40206471065</x:v>
      </x:c>
      <x:c r="F248" s="6" t="str">
        <x:v>20</x:v>
      </x:c>
      <x:c r="G248" s="20" t="str">
        <x:v>observed_counterfactual;severe_failure;terminal</x:v>
      </x:c>
      <x:c r="H248" s="20" t="str">
        <x:v>browsergym/miniwob.click-widget</x:v>
      </x:c>
      <x:c r="I248" s="6" t="str">
        <x:v>browsergym/miniwob.click-widget</x:v>
      </x:c>
      <x:c r="J248" s="6" t="str">
        <x:v>cf-click-widget-seed1025-missing_target</x:v>
      </x:c>
      <x:c r="K248" s="6" t="str">
        <x:v>0</x:v>
      </x:c>
      <x:c r="L248" s="20" t="str">
        <x:v>Click on a "checkbox" widget.</x:v>
      </x:c>
      <x:c r="M248" s="20" t="str">
        <x:v>click("21", "left")</x:v>
      </x:c>
      <x:c r="N248" s="6" t="str">
        <x:v>0.0</x:v>
      </x:c>
      <x:c r="O248" s="20" t="str">
        <x:v>file:///root/autodl-tmp/miniwob-plusplus/miniwob/html/miniwob/click-widget.html</x:v>
      </x:c>
      <x:c r="P248" s="20" t="str">
        <x:v>Click Widget Task</x:v>
      </x:c>
      <x:c r="Q248" s="20" t="str">
        <x:v>RootWebArea 'Click Widget Task', focused [14] textbox '' value='z' StaticText 'z' [16] textbox '' value='hS' StaticText 'hS' [18] LabelText '', clickable [19] checkbox 'xB', clickable, checked='false' StaticText 'xB' [21] button 'z' [23] LabelText '', clickable [24] radio 'pK', clickable, checked='false' StaticText 'pK'</x:v>
      </x:c>
      <x:c r="R248" s="20" t="str">
        <x:v>file:///root/autodl-tmp/miniwob-plusplus/miniwob/html/miniwob/click-widget.html</x:v>
      </x:c>
      <x:c r="S248" s="20" t="str">
        <x:v>Click Widget Task</x:v>
      </x:c>
      <x:c r="T248" s="20" t="str">
        <x:v>RootWebArea 'Click Widget Task', focused [14] textbox '' value='z' StaticText 'z' [16] textbox '' value='hS' StaticText 'hS' [18] LabelText '', clickable [19] checkbox 'xB', clickable, checked='false' StaticText 'xB' [21] button 'z', focused [23] LabelText '', clickable [24] radio 'pK', clickable, checked='false' StaticText 'pK'</x:v>
      </x:c>
      <x:c r="U248" s="6" t="str">
        <x:v>0</x:v>
      </x:c>
      <x:c r="V248" s="6" t="str">
        <x:v>0</x:v>
      </x:c>
      <x:c r="W248" s="6" t="str">
        <x:v>0</x:v>
      </x:c>
      <x:c r="X248" s="6" t="str">
        <x:v>1</x:v>
      </x:c>
      <x:c r="Y248" s="6" t="str">
        <x:v>0</x:v>
      </x:c>
      <x:c r="Z248" s="6" t="str">
        <x:v>1</x:v>
      </x:c>
      <x:c r="AA248" s="6" t="str">
        <x:v>0.0</x:v>
      </x:c>
      <x:c r="AB248" s="20" t="str">
        <x:v>Codex证据复核v1：原始记录唯一匹配、环境实测、反事实配对ID完整、终止且非成功、奖励非正、队列标签与结果派生规则一致；非人工签字。</x:v>
      </x:c>
    </x:row>
    <x:row r="249" ht="46" customHeight="1">
      <x:c r="A249" s="6" t="str">
        <x:v>1</x:v>
      </x:c>
      <x:c r="B249" s="6" t="str">
        <x:v>35848b2bbcd31ac75822</x:v>
      </x:c>
      <x:c r="C249" s="6" t="str">
        <x:v>evidence_approved</x:v>
      </x:c>
      <x:c r="D249" s="6" t="str">
        <x:v>codex-evidence-review-v1</x:v>
      </x:c>
      <x:c r="E249" s="22" t="n">
        <x:v>46244.40206471065</x:v>
      </x:c>
      <x:c r="F249" s="6" t="str">
        <x:v>20</x:v>
      </x:c>
      <x:c r="G249" s="20" t="str">
        <x:v>observed_counterfactual;severe_failure;terminal</x:v>
      </x:c>
      <x:c r="H249" s="20" t="str">
        <x:v>browsergym/miniwob.login-user</x:v>
      </x:c>
      <x:c r="I249" s="6" t="str">
        <x:v>browsergym/miniwob.login-user</x:v>
      </x:c>
      <x:c r="J249" s="6" t="str">
        <x:v>cf-login-user-seed1036-hard_wrong_target</x:v>
      </x:c>
      <x:c r="K249" s="6" t="str">
        <x:v>0</x:v>
      </x:c>
      <x:c r="L249" s="20" t="str">
        <x:v>Enter the username "nieves" and the password "4zO" into the text fields and press login.</x:v>
      </x:c>
      <x:c r="M249" s="20" t="str">
        <x:v>click("20", "left")</x:v>
      </x:c>
      <x:c r="N249" s="6" t="str">
        <x:v>0.0</x:v>
      </x:c>
      <x:c r="O249" s="20" t="str">
        <x:v>file:///root/autodl-tmp/miniwob-plusplus/miniwob/html/miniwob/login-user.html</x:v>
      </x:c>
      <x:c r="P249" s="20" t="str">
        <x:v>Login User Task</x:v>
      </x:c>
      <x:c r="Q249" s="20" t="str">
        <x:v>RootWebArea 'Login User Task', focused [14] paragraph '' [15] LabelText '' StaticText 'Username' [16] textbox '', clickable [17] paragraph '' [18] LabelText '' StaticText 'Password' [19] textbox '', clickable [20] button 'Login', clickable</x:v>
      </x:c>
      <x:c r="R249" s="20" t="str">
        <x:v>file:///root/autodl-tmp/miniwob-plusplus/miniwob/html/miniwob/login-user.html</x:v>
      </x:c>
      <x:c r="S249" s="20" t="str">
        <x:v>Login User Task</x:v>
      </x:c>
      <x:c r="T249" s="20" t="str">
        <x:v>RootWebArea 'Login User Task', focused [14] paragraph '' [15] LabelText '' StaticText 'Username' [16] textbox '', clickable [17] paragraph '' [18] LabelText '' StaticText 'Password' [19] textbox '', clickable [20] button 'Login', clickable, focused</x:v>
      </x:c>
      <x:c r="U249" s="6" t="str">
        <x:v>0</x:v>
      </x:c>
      <x:c r="V249" s="6" t="str">
        <x:v>0</x:v>
      </x:c>
      <x:c r="W249" s="6" t="str">
        <x:v>0</x:v>
      </x:c>
      <x:c r="X249" s="6" t="str">
        <x:v>1</x:v>
      </x:c>
      <x:c r="Y249" s="6" t="str">
        <x:v>0</x:v>
      </x:c>
      <x:c r="Z249" s="6" t="str">
        <x:v>1</x:v>
      </x:c>
      <x:c r="AA249" s="6" t="str">
        <x:v>0.0</x:v>
      </x:c>
      <x:c r="AB249" s="20" t="str">
        <x:v>Codex证据复核v1：原始记录唯一匹配、环境实测、反事实配对ID完整、终止且非成功、奖励非正、队列标签与结果派生规则一致；非人工签字。</x:v>
      </x:c>
    </x:row>
    <x:row r="250" ht="46" customHeight="1">
      <x:c r="A250" s="6" t="str">
        <x:v>1</x:v>
      </x:c>
      <x:c r="B250" s="6" t="str">
        <x:v>314a99aa32d24f99505d</x:v>
      </x:c>
      <x:c r="C250" s="6" t="str">
        <x:v>evidence_approved</x:v>
      </x:c>
      <x:c r="D250" s="6" t="str">
        <x:v>codex-evidence-review-v1</x:v>
      </x:c>
      <x:c r="E250" s="22" t="n">
        <x:v>46244.40206471065</x:v>
      </x:c>
      <x:c r="F250" s="6" t="str">
        <x:v>20</x:v>
      </x:c>
      <x:c r="G250" s="20" t="str">
        <x:v>observed_counterfactual;severe_failure;terminal</x:v>
      </x:c>
      <x:c r="H250" s="20" t="str">
        <x:v>browsergym/miniwob.click-widget</x:v>
      </x:c>
      <x:c r="I250" s="6" t="str">
        <x:v>browsergym/miniwob.click-widget</x:v>
      </x:c>
      <x:c r="J250" s="6" t="str">
        <x:v>cf-click-widget-seed1017-hard_wrong_target</x:v>
      </x:c>
      <x:c r="K250" s="6" t="str">
        <x:v>0</x:v>
      </x:c>
      <x:c r="L250" s="20" t="str">
        <x:v>Click on a "radio" widget.</x:v>
      </x:c>
      <x:c r="M250" s="20" t="str">
        <x:v>click("14", "left")</x:v>
      </x:c>
      <x:c r="N250" s="6" t="str">
        <x:v>0.0</x:v>
      </x:c>
      <x:c r="O250" s="20" t="str">
        <x:v>file:///root/autodl-tmp/miniwob-plusplus/miniwob/html/miniwob/click-widget.html</x:v>
      </x:c>
      <x:c r="P250" s="20" t="str">
        <x:v>Click Widget Task</x:v>
      </x:c>
      <x:c r="Q250" s="20" t="str">
        <x:v>RootWebArea 'Click Widget Task', focused [14] button 'ie' [16] LabelText '', clickable [17] radio 'udc', clickable, checked='false' StaticText 'udc' [19] LabelText '', clickable [20] checkbox '2zIuX', clickable, checked='false' StaticText '2zIuX' [22] LabelText '', clickable [23] checkbox 'f1n', clickable, checked='false' StaticText 'f1n' [25] LabelText '', clickable [26] radio '39J7u', clickable, checked='false' StaticText '39J7u'</x:v>
      </x:c>
      <x:c r="R250" s="20" t="str">
        <x:v>file:///root/autodl-tmp/miniwob-plusplus/miniwob/html/miniwob/click-widget.html</x:v>
      </x:c>
      <x:c r="S250" s="20" t="str">
        <x:v>Click Widget Task</x:v>
      </x:c>
      <x:c r="T250" s="20" t="str">
        <x:v>RootWebArea 'Click Widget Task', focused [14] button 'ie', focused [16] LabelText '', clickable [17] radio 'udc', clickable, checked='false' StaticText 'udc' [19] LabelText '', clickable [20] checkbox '2zIuX', clickable, checked='false' StaticText '2zIuX' [22] LabelText '', clickable [23] checkbox 'f1n', clickable, checked='false' StaticText 'f1n' [25] LabelText '', clickable [26] radio '39J7u', clickable, checked='false' StaticText '39J7u'</x:v>
      </x:c>
      <x:c r="U250" s="6" t="str">
        <x:v>0</x:v>
      </x:c>
      <x:c r="V250" s="6" t="str">
        <x:v>0</x:v>
      </x:c>
      <x:c r="W250" s="6" t="str">
        <x:v>0</x:v>
      </x:c>
      <x:c r="X250" s="6" t="str">
        <x:v>1</x:v>
      </x:c>
      <x:c r="Y250" s="6" t="str">
        <x:v>0</x:v>
      </x:c>
      <x:c r="Z250" s="6" t="str">
        <x:v>1</x:v>
      </x:c>
      <x:c r="AA250" s="6" t="str">
        <x:v>0.0</x:v>
      </x:c>
      <x:c r="AB250" s="20" t="str">
        <x:v>Codex证据复核v1：原始记录唯一匹配、环境实测、反事实配对ID完整、终止且非成功、奖励非正、队列标签与结果派生规则一致；非人工签字。</x:v>
      </x:c>
    </x:row>
    <x:row r="251" ht="46" customHeight="1">
      <x:c r="A251" s="6" t="str">
        <x:v>1</x:v>
      </x:c>
      <x:c r="B251" s="6" t="str">
        <x:v>22c672b0c637704fc11a</x:v>
      </x:c>
      <x:c r="C251" s="6" t="str">
        <x:v>evidence_approved</x:v>
      </x:c>
      <x:c r="D251" s="6" t="str">
        <x:v>codex-evidence-review-v1</x:v>
      </x:c>
      <x:c r="E251" s="22" t="n">
        <x:v>46244.40206471065</x:v>
      </x:c>
      <x:c r="F251" s="6" t="str">
        <x:v>20</x:v>
      </x:c>
      <x:c r="G251" s="20" t="str">
        <x:v>observed_counterfactual;severe_failure;terminal</x:v>
      </x:c>
      <x:c r="H251" s="20" t="str">
        <x:v>browsergym/miniwob.enter-text</x:v>
      </x:c>
      <x:c r="I251" s="6" t="str">
        <x:v>browsergym/miniwob.enter-text</x:v>
      </x:c>
      <x:c r="J251" s="6" t="str">
        <x:v>cf-enter-text-seed1020-hard_wrong_target</x:v>
      </x:c>
      <x:c r="K251" s="6" t="str">
        <x:v>0</x:v>
      </x:c>
      <x:c r="L251" s="20" t="str">
        <x:v>Enter "Rex" into the text field and press Submit.</x:v>
      </x:c>
      <x:c r="M251" s="20" t="str">
        <x:v>click("15", "left")</x:v>
      </x:c>
      <x:c r="N251" s="6" t="str">
        <x:v>0.0</x:v>
      </x:c>
      <x:c r="O251" s="20" t="str">
        <x:v>file:///root/autodl-tmp/miniwob-plusplus/miniwob/html/miniwob/enter-text.html</x:v>
      </x:c>
      <x:c r="P251" s="20" t="str">
        <x:v>Enter Text Task</x:v>
      </x:c>
      <x:c r="Q251" s="20" t="str">
        <x:v>RootWebArea 'Enter Text Task', focused [14] textbox '', clickable [15] button 'Submit', clickable</x:v>
      </x:c>
      <x:c r="R251" s="20" t="str">
        <x:v>file:///root/autodl-tmp/miniwob-plusplus/miniwob/html/miniwob/enter-text.html</x:v>
      </x:c>
      <x:c r="S251" s="20" t="str">
        <x:v>Enter Text Task</x:v>
      </x:c>
      <x:c r="T251" s="20" t="str">
        <x:v>RootWebArea 'Enter Text Task', focused [14] textbox '', clickable [15] button 'Submit', clickable, focused</x:v>
      </x:c>
      <x:c r="U251" s="6" t="str">
        <x:v>0</x:v>
      </x:c>
      <x:c r="V251" s="6" t="str">
        <x:v>0</x:v>
      </x:c>
      <x:c r="W251" s="6" t="str">
        <x:v>0</x:v>
      </x:c>
      <x:c r="X251" s="6" t="str">
        <x:v>1</x:v>
      </x:c>
      <x:c r="Y251" s="6" t="str">
        <x:v>0</x:v>
      </x:c>
      <x:c r="Z251" s="6" t="str">
        <x:v>1</x:v>
      </x:c>
      <x:c r="AA251" s="6" t="str">
        <x:v>0.0</x:v>
      </x:c>
      <x:c r="AB251" s="20" t="str">
        <x:v>Codex证据复核v1：原始记录唯一匹配、环境实测、反事实配对ID完整、终止且非成功、奖励非正、队列标签与结果派生规则一致；非人工签字。</x:v>
      </x:c>
    </x:row>
    <x:row r="252" ht="46" customHeight="1">
      <x:c r="A252" s="6" t="str">
        <x:v>1</x:v>
      </x:c>
      <x:c r="B252" s="6" t="str">
        <x:v>9cc4854ea75d4efa4f24</x:v>
      </x:c>
      <x:c r="C252" s="6" t="str">
        <x:v>evidence_approved</x:v>
      </x:c>
      <x:c r="D252" s="6" t="str">
        <x:v>codex-evidence-review-v1</x:v>
      </x:c>
      <x:c r="E252" s="22" t="n">
        <x:v>46244.40206471065</x:v>
      </x:c>
      <x:c r="F252" s="6" t="str">
        <x:v>20</x:v>
      </x:c>
      <x:c r="G252" s="20" t="str">
        <x:v>observed_counterfactual;severe_failure;terminal</x:v>
      </x:c>
      <x:c r="H252" s="20" t="str">
        <x:v>browsergym/miniwob.enter-text-2</x:v>
      </x:c>
      <x:c r="I252" s="6" t="str">
        <x:v>browsergym/miniwob.enter-text-2</x:v>
      </x:c>
      <x:c r="J252" s="6" t="str">
        <x:v>cf-enter-text-2-seed1034-hard_wrong_target</x:v>
      </x:c>
      <x:c r="K252" s="6" t="str">
        <x:v>0</x:v>
      </x:c>
      <x:c r="L252" s="20" t="str">
        <x:v>Type "michel" in all upper case letters in the text input and press Submit.</x:v>
      </x:c>
      <x:c r="M252" s="20" t="str">
        <x:v>click("15", "left")</x:v>
      </x:c>
      <x:c r="N252" s="6" t="str">
        <x:v>0.0</x:v>
      </x:c>
      <x:c r="O252" s="20" t="str">
        <x:v>file:///root/autodl-tmp/miniwob-plusplus/miniwob/html/miniwob/enter-text-2.html</x:v>
      </x:c>
      <x:c r="P252" s="20" t="str">
        <x:v>Enter Text Task</x:v>
      </x:c>
      <x:c r="Q252" s="20" t="str">
        <x:v>RootWebArea 'Enter Text Task', focused [14] textbox '', clickable [15] button 'Submit', clickable</x:v>
      </x:c>
      <x:c r="R252" s="20" t="str">
        <x:v>file:///root/autodl-tmp/miniwob-plusplus/miniwob/html/miniwob/enter-text-2.html</x:v>
      </x:c>
      <x:c r="S252" s="20" t="str">
        <x:v>Enter Text Task</x:v>
      </x:c>
      <x:c r="T252" s="20" t="str">
        <x:v>RootWebArea 'Enter Text Task', focused [14] textbox '', clickable [15] button 'Submit', clickable, focused</x:v>
      </x:c>
      <x:c r="U252" s="6" t="str">
        <x:v>0</x:v>
      </x:c>
      <x:c r="V252" s="6" t="str">
        <x:v>0</x:v>
      </x:c>
      <x:c r="W252" s="6" t="str">
        <x:v>0</x:v>
      </x:c>
      <x:c r="X252" s="6" t="str">
        <x:v>1</x:v>
      </x:c>
      <x:c r="Y252" s="6" t="str">
        <x:v>0</x:v>
      </x:c>
      <x:c r="Z252" s="6" t="str">
        <x:v>1</x:v>
      </x:c>
      <x:c r="AA252" s="6" t="str">
        <x:v>0.0</x:v>
      </x:c>
      <x:c r="AB252" s="20" t="str">
        <x:v>Codex证据复核v1：原始记录唯一匹配、环境实测、反事实配对ID完整、终止且非成功、奖励非正、队列标签与结果派生规则一致；非人工签字。</x:v>
      </x:c>
    </x:row>
    <x:row r="253" ht="46" customHeight="1">
      <x:c r="A253" s="6" t="str">
        <x:v>1</x:v>
      </x:c>
      <x:c r="B253" s="6" t="str">
        <x:v>5b2a10ae7ceb39c75fdb</x:v>
      </x:c>
      <x:c r="C253" s="6" t="str">
        <x:v>evidence_approved</x:v>
      </x:c>
      <x:c r="D253" s="6" t="str">
        <x:v>codex-evidence-review-v1</x:v>
      </x:c>
      <x:c r="E253" s="22" t="n">
        <x:v>46244.40206471065</x:v>
      </x:c>
      <x:c r="F253" s="6" t="str">
        <x:v>20</x:v>
      </x:c>
      <x:c r="G253" s="20" t="str">
        <x:v>observed_counterfactual;severe_failure;terminal</x:v>
      </x:c>
      <x:c r="H253" s="20" t="str">
        <x:v>browsergym/miniwob.scroll-text</x:v>
      </x:c>
      <x:c r="I253" s="6" t="str">
        <x:v>browsergym/miniwob.scroll-text</x:v>
      </x:c>
      <x:c r="J253" s="6" t="str">
        <x:v>cf-scroll-text-seed1028-hard_wrong_target</x:v>
      </x:c>
      <x:c r="K253" s="6" t="str">
        <x:v>0</x:v>
      </x:c>
      <x:c r="L253" s="20" t="str">
        <x:v>Find the last word in the text area, enter it into the text field and hit Submit.</x:v>
      </x:c>
      <x:c r="M253" s="20" t="str">
        <x:v>click("15", "left")</x:v>
      </x:c>
      <x:c r="N253" s="6" t="str">
        <x:v>0.0</x:v>
      </x:c>
      <x:c r="O253" s="20" t="str">
        <x:v>file:///root/autodl-tmp/miniwob-plusplus/miniwob/html/miniwob/scroll-text.html</x:v>
      </x:c>
      <x:c r="P253" s="20" t="str">
        <x:v>Scroll Text Task</x:v>
      </x:c>
      <x:c r="Q253" s="20" t="str">
        <x:v>RootWebArea 'Scroll Text Task', focused [13] textbox '' value='Pellentesque pellentesque nullam nunc in urna facilisi sit sem tempus. Curabitur pharetra ac tempor, felis, mattis tempor velit, sed phasellus et. Varius. Malesuada duis pulvinar neque, tristique. Ac vestibulum semper sit volutpat. Feugiat molestie. Id pharetra in nulla iaculis. Ac nec urna, fermentum est pretium ultricies commodo turpis quis ultrices. Commodo, mattis etiam quis sapien in adipiscing lobortis. Amet diam quis maecenas sem vitae,. Iaculis a id quis. Sed dictum. Varius justo, nisi adipiscing a pretium arcu, faucibus risus sed magna. Risus amet aliquam sit… StaticText 'Pellentesque pellentesque nullam nunc in urna facilisi sit sem tempus. Curabitur pharetra ac tempor, felis, mattis tempor velit, sed phasellus et. Varius. Malesuada duis pulvinar neque, tristique. Ac vestibulum semper sit volutpat. Feugiat molestie…</x:v>
      </x:c>
      <x:c r="R253" s="20" t="str">
        <x:v>file:///root/autodl-tmp/miniwob-plusplus/miniwob/html/miniwob/scroll-text.html</x:v>
      </x:c>
      <x:c r="S253" s="20" t="str">
        <x:v>Scroll Text Task</x:v>
      </x:c>
      <x:c r="T253" s="20" t="str">
        <x:v>RootWebArea 'Scroll Text Task', focused [13] textbox '' value='Pellentesque pellentesque nullam nunc in urna facilisi sit sem tempus. Curabitur pharetra ac tempor, felis, mattis tempor velit, sed phasellus et. Varius. Malesuada duis pulvinar neque, tristique. Ac vestibulum semper sit volutpat. Feugiat molestie. Id pharetra in nulla iaculis. Ac nec urna, fermentum est pretium ultricies commodo turpis quis ultrices. Commodo, mattis etiam quis sapien in adipiscing lobortis. Amet diam quis maecenas sem vitae,. Iaculis a id quis. Sed dictum. Varius justo, nisi adipiscing a pretium arcu, faucibus risus sed magna. Risus amet aliquam sit… StaticText 'Pellentesque pellentesque nullam nunc in urna facilisi sit sem tempus. Curabitur pharetra ac tempor, felis, mattis tempor velit, sed phasellus et. Varius. Malesuada duis pulvinar neque, tristique. Ac vestibulum semper sit volutpat. Feugiat molestie…</x:v>
      </x:c>
      <x:c r="U253" s="6" t="str">
        <x:v>0</x:v>
      </x:c>
      <x:c r="V253" s="6" t="str">
        <x:v>0</x:v>
      </x:c>
      <x:c r="W253" s="6" t="str">
        <x:v>0</x:v>
      </x:c>
      <x:c r="X253" s="6" t="str">
        <x:v>1</x:v>
      </x:c>
      <x:c r="Y253" s="6" t="str">
        <x:v>0</x:v>
      </x:c>
      <x:c r="Z253" s="6" t="str">
        <x:v>1</x:v>
      </x:c>
      <x:c r="AA253" s="6" t="str">
        <x:v>0.0</x:v>
      </x:c>
      <x:c r="AB253" s="20" t="str">
        <x:v>Codex证据复核v1：原始记录唯一匹配、环境实测、反事实配对ID完整、终止且非成功、奖励非正、队列标签与结果派生规则一致；非人工签字。</x:v>
      </x:c>
    </x:row>
    <x:row r="254" ht="46" customHeight="1">
      <x:c r="A254" s="6" t="str">
        <x:v>1</x:v>
      </x:c>
      <x:c r="B254" s="6" t="str">
        <x:v>7984c26845b4360adcc7</x:v>
      </x:c>
      <x:c r="C254" s="6" t="str">
        <x:v>evidence_approved</x:v>
      </x:c>
      <x:c r="D254" s="6" t="str">
        <x:v>codex-evidence-review-v1</x:v>
      </x:c>
      <x:c r="E254" s="22" t="n">
        <x:v>46244.40206471065</x:v>
      </x:c>
      <x:c r="F254" s="6" t="str">
        <x:v>20</x:v>
      </x:c>
      <x:c r="G254" s="20" t="str">
        <x:v>observed_counterfactual;severe_failure;terminal</x:v>
      </x:c>
      <x:c r="H254" s="20" t="str">
        <x:v>browsergym/miniwob.click-widget</x:v>
      </x:c>
      <x:c r="I254" s="6" t="str">
        <x:v>browsergym/miniwob.click-widget</x:v>
      </x:c>
      <x:c r="J254" s="6" t="str">
        <x:v>cf-click-widget-seed1003-hard_wrong_target</x:v>
      </x:c>
      <x:c r="K254" s="6" t="str">
        <x:v>0</x:v>
      </x:c>
      <x:c r="L254" s="20" t="str">
        <x:v>Click on a "textarea" widget.</x:v>
      </x:c>
      <x:c r="M254" s="20" t="str">
        <x:v>click("18", "left")</x:v>
      </x:c>
      <x:c r="N254" s="6" t="str">
        <x:v>0.0</x:v>
      </x:c>
      <x:c r="O254" s="20" t="str">
        <x:v>file:///root/autodl-tmp/miniwob-plusplus/miniwob/html/miniwob/click-widget.html</x:v>
      </x:c>
      <x:c r="P254" s="20" t="str">
        <x:v>Click Widget Task</x:v>
      </x:c>
      <x:c r="Q254" s="20" t="str">
        <x:v>RootWebArea 'Click Widget Task', focused [14] LabelText '', clickable [15] checkbox 'YWCJ0', clickable, checked='false' StaticText 'YWCJ0' [17] LabelText '', clickable [18] radio 'L9I', clickable, checked='false' StaticText 'L9I' [20] LabelText '', clickable [21] checkbox 'Ml7U', clickable, checked='false' StaticText 'Ml7U' [23] textbox '' value='S' StaticText 'S' [25] textbox '' value='9fx3P', clickable StaticText '9fx3P'</x:v>
      </x:c>
      <x:c r="R254" s="20" t="str">
        <x:v>file:///root/autodl-tmp/miniwob-plusplus/miniwob/html/miniwob/click-widget.html</x:v>
      </x:c>
      <x:c r="S254" s="20" t="str">
        <x:v>Click Widget Task</x:v>
      </x:c>
      <x:c r="T254" s="20" t="str">
        <x:v>RootWebArea 'Click Widget Task', focused [14] LabelText '', clickable [15] checkbox 'YWCJ0', clickable, checked='false' StaticText 'YWCJ0' [17] LabelText '', clickable [18] radio 'L9I', clickable, focused, checked='true' StaticText 'L9I' [20] LabelText '', clickable [21] checkbox 'Ml7U', clickable, checked='false' StaticText 'Ml7U' [23] textbox '' value='S' StaticText 'S' [25] textbox '' value='9fx3P', clickable StaticText '9fx3P'</x:v>
      </x:c>
      <x:c r="U254" s="6" t="str">
        <x:v>0</x:v>
      </x:c>
      <x:c r="V254" s="6" t="str">
        <x:v>0</x:v>
      </x:c>
      <x:c r="W254" s="6" t="str">
        <x:v>0</x:v>
      </x:c>
      <x:c r="X254" s="6" t="str">
        <x:v>1</x:v>
      </x:c>
      <x:c r="Y254" s="6" t="str">
        <x:v>0</x:v>
      </x:c>
      <x:c r="Z254" s="6" t="str">
        <x:v>1</x:v>
      </x:c>
      <x:c r="AA254" s="6" t="str">
        <x:v>0.0</x:v>
      </x:c>
      <x:c r="AB254" s="20" t="str">
        <x:v>Codex证据复核v1：原始记录唯一匹配、环境实测、反事实配对ID完整、终止且非成功、奖励非正、队列标签与结果派生规则一致；非人工签字。</x:v>
      </x:c>
    </x:row>
    <x:row r="255" ht="46" customHeight="1">
      <x:c r="A255" s="6" t="str">
        <x:v>1</x:v>
      </x:c>
      <x:c r="B255" s="6" t="str">
        <x:v>e1a67d4b630d483a12e3</x:v>
      </x:c>
      <x:c r="C255" s="6" t="str">
        <x:v>evidence_approved</x:v>
      </x:c>
      <x:c r="D255" s="6" t="str">
        <x:v>codex-evidence-review-v1</x:v>
      </x:c>
      <x:c r="E255" s="22" t="n">
        <x:v>46244.40206471065</x:v>
      </x:c>
      <x:c r="F255" s="6" t="str">
        <x:v>20</x:v>
      </x:c>
      <x:c r="G255" s="20" t="str">
        <x:v>observed_counterfactual;severe_failure;terminal</x:v>
      </x:c>
      <x:c r="H255" s="20" t="str">
        <x:v>browsergym/miniwob.scroll-text</x:v>
      </x:c>
      <x:c r="I255" s="6" t="str">
        <x:v>browsergym/miniwob.scroll-text</x:v>
      </x:c>
      <x:c r="J255" s="6" t="str">
        <x:v>cf-scroll-text-seed1039-hard_wrong_target</x:v>
      </x:c>
      <x:c r="K255" s="6" t="str">
        <x:v>0</x:v>
      </x:c>
      <x:c r="L255" s="20" t="str">
        <x:v>Find the last word in the text area, enter it into the text field and hit Submit.</x:v>
      </x:c>
      <x:c r="M255" s="20" t="str">
        <x:v>click("15", "left")</x:v>
      </x:c>
      <x:c r="N255" s="6" t="str">
        <x:v>0.0</x:v>
      </x:c>
      <x:c r="O255" s="20" t="str">
        <x:v>file:///root/autodl-tmp/miniwob-plusplus/miniwob/html/miniwob/scroll-text.html</x:v>
      </x:c>
      <x:c r="P255" s="20" t="str">
        <x:v>Scroll Text Task</x:v>
      </x:c>
      <x:c r="Q255" s="20" t="str">
        <x:v>RootWebArea 'Scroll Text Task', focused [13] textbox '' value='Consectetur. Potenti ipsum nunc. Volutpat adipiscing ut varius sed facilisis morbi amet mauris, sed pulvinar penatibus. Quisque. Adipiscing sapien egestas bibendum luctus. Erat volutpat sapien. Imperdiet orci in volutpat, leo, dignissim non euismod porttitor lectus tempus lacus facilisis. Vestibulum, potenti enim, iaculis dolor quis ac dolor,. Non felis. Mauris amet sed. Sed sed dolor, hendrerit condimentum. Gravida vitae urna, commodo cursus. Et, enim, vulputate commodo erat vel et, proin sapien scelerisque euismod tempor mollis at dui odio mi phasellus. Sed. Quis. E… StaticText 'Consectetur. Potenti ipsum nunc. Volutpat adipiscing ut varius sed facilisis morbi amet mauris, sed pulvinar penatibus. Quisque. Adipiscing sapien egestas bibendum luctus. Erat volutpat sapien. Imperdiet orci in volutpat, leo, dignissim non euismod…</x:v>
      </x:c>
      <x:c r="R255" s="20" t="str">
        <x:v>file:///root/autodl-tmp/miniwob-plusplus/miniwob/html/miniwob/scroll-text.html</x:v>
      </x:c>
      <x:c r="S255" s="20" t="str">
        <x:v>Scroll Text Task</x:v>
      </x:c>
      <x:c r="T255" s="20" t="str">
        <x:v>RootWebArea 'Scroll Text Task', focused [13] textbox '' value='Consectetur. Potenti ipsum nunc. Volutpat adipiscing ut varius sed facilisis morbi amet mauris, sed pulvinar penatibus. Quisque. Adipiscing sapien egestas bibendum luctus. Erat volutpat sapien. Imperdiet orci in volutpat, leo, dignissim non euismod porttitor lectus tempus lacus facilisis. Vestibulum, potenti enim, iaculis dolor quis ac dolor,. Non felis. Mauris amet sed. Sed sed dolor, hendrerit condimentum. Gravida vitae urna, commodo cursus. Et, enim, vulputate commodo erat vel et, proin sapien scelerisque euismod tempor mollis at dui odio mi phasellus. Sed. Quis. E… StaticText 'Consectetur. Potenti ipsum nunc. Volutpat adipiscing ut varius sed facilisis morbi amet mauris, sed pulvinar penatibus. Quisque. Adipiscing sapien egestas bibendum luctus. Erat volutpat sapien. Imperdiet orci in volutpat, leo, dignissim non euismod…</x:v>
      </x:c>
      <x:c r="U255" s="6" t="str">
        <x:v>0</x:v>
      </x:c>
      <x:c r="V255" s="6" t="str">
        <x:v>0</x:v>
      </x:c>
      <x:c r="W255" s="6" t="str">
        <x:v>0</x:v>
      </x:c>
      <x:c r="X255" s="6" t="str">
        <x:v>1</x:v>
      </x:c>
      <x:c r="Y255" s="6" t="str">
        <x:v>0</x:v>
      </x:c>
      <x:c r="Z255" s="6" t="str">
        <x:v>1</x:v>
      </x:c>
      <x:c r="AA255" s="6" t="str">
        <x:v>0.0</x:v>
      </x:c>
      <x:c r="AB255" s="20" t="str">
        <x:v>Codex证据复核v1：原始记录唯一匹配、环境实测、反事实配对ID完整、终止且非成功、奖励非正、队列标签与结果派生规则一致；非人工签字。</x:v>
      </x:c>
    </x:row>
    <x:row r="256" ht="46" customHeight="1">
      <x:c r="A256" s="6" t="str">
        <x:v>1</x:v>
      </x:c>
      <x:c r="B256" s="6" t="str">
        <x:v>89f5c59723d78332f044</x:v>
      </x:c>
      <x:c r="C256" s="6" t="str">
        <x:v>evidence_approved</x:v>
      </x:c>
      <x:c r="D256" s="6" t="str">
        <x:v>codex-evidence-review-v1</x:v>
      </x:c>
      <x:c r="E256" s="22" t="n">
        <x:v>46244.40206471065</x:v>
      </x:c>
      <x:c r="F256" s="6" t="str">
        <x:v>20</x:v>
      </x:c>
      <x:c r="G256" s="20" t="str">
        <x:v>observed_counterfactual;severe_failure;terminal</x:v>
      </x:c>
      <x:c r="H256" s="20" t="str">
        <x:v>browsergym/miniwob.click-tab</x:v>
      </x:c>
      <x:c r="I256" s="6" t="str">
        <x:v>browsergym/miniwob.click-tab</x:v>
      </x:c>
      <x:c r="J256" s="6" t="str">
        <x:v>cf-click-tab-seed1030-hard_wrong_target</x:v>
      </x:c>
      <x:c r="K256" s="6" t="str">
        <x:v>0</x:v>
      </x:c>
      <x:c r="L256" s="20" t="str">
        <x:v>Click on Tab #1.</x:v>
      </x:c>
      <x:c r="M256" s="20" t="str">
        <x:v>click("21", "left")</x:v>
      </x:c>
      <x:c r="N256" s="6" t="str">
        <x:v>0.0</x:v>
      </x:c>
      <x:c r="O256" s="20" t="str">
        <x:v>file:///root/autodl-tmp/miniwob-plusplus/miniwob/html/miniwob/click-tab.html</x:v>
      </x:c>
      <x:c r="P256" s="20" t="str">
        <x:v>Click Tab Task</x:v>
      </x:c>
      <x:c r="Q256" s="20" t="str">
        <x:v>RootWebArea 'Click Tab Task', focused [17] tablist '', clickable, multiselectable=False, orientation='horizontal' [18] tab 'Tab #1', expanded=False, selected=False, controls='tabs-1' [19] link 'Tab #1', clickable [20] tab 'Tab #2', expanded=False, selected=False, controls='tabs-2' [21] link 'Tab #2', clickable [22] tab 'Tab #3', expanded=True, selected=True, controls='tabs-3' [23] link 'Tab #3', clickable [28] tabpanel 'Tab #3' [29] paragraph '' StaticText 'Malesuada. Non mauris. Senectus. Ornare mauris, nulla. Enim quis a. Aliquet cursus porttitor non. Nunc sit risus, id adipiscing ac.'</x:v>
      </x:c>
      <x:c r="R256" s="20" t="str">
        <x:v>file:///root/autodl-tmp/miniwob-plusplus/miniwob/html/miniwob/click-tab.html</x:v>
      </x:c>
      <x:c r="S256" s="20" t="str">
        <x:v>Click Tab Task</x:v>
      </x:c>
      <x:c r="T256"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'Nunc in. Ut auctor quam ullamcorper. Malesuada pulvinar ac suspendisse dui amet, nulla scelerisque purus adipiscing. Aliquet id ut mollis.'</x:v>
      </x:c>
      <x:c r="U256" s="6" t="str">
        <x:v>0</x:v>
      </x:c>
      <x:c r="V256" s="6" t="str">
        <x:v>0</x:v>
      </x:c>
      <x:c r="W256" s="6" t="str">
        <x:v>0</x:v>
      </x:c>
      <x:c r="X256" s="6" t="str">
        <x:v>1</x:v>
      </x:c>
      <x:c r="Y256" s="6" t="str">
        <x:v>0</x:v>
      </x:c>
      <x:c r="Z256" s="6" t="str">
        <x:v>1</x:v>
      </x:c>
      <x:c r="AA256" s="6" t="str">
        <x:v>0.0</x:v>
      </x:c>
      <x:c r="AB256" s="20" t="str">
        <x:v>Codex证据复核v1：原始记录唯一匹配、环境实测、反事实配对ID完整、终止且非成功、奖励非正、队列标签与结果派生规则一致；非人工签字。</x:v>
      </x:c>
    </x:row>
    <x:row r="257" ht="46" customHeight="1">
      <x:c r="A257" s="6" t="str">
        <x:v>1</x:v>
      </x:c>
      <x:c r="B257" s="6" t="str">
        <x:v>3f8b2cee138c7d01f21c</x:v>
      </x:c>
      <x:c r="C257" s="6" t="str">
        <x:v>evidence_approved</x:v>
      </x:c>
      <x:c r="D257" s="6" t="str">
        <x:v>codex-evidence-review-v1</x:v>
      </x:c>
      <x:c r="E257" s="22" t="n">
        <x:v>46244.40206471065</x:v>
      </x:c>
      <x:c r="F257" s="6" t="str">
        <x:v>20</x:v>
      </x:c>
      <x:c r="G257" s="20" t="str">
        <x:v>observed_counterfactual;severe_failure;terminal</x:v>
      </x:c>
      <x:c r="H257" s="20" t="str">
        <x:v>browsergym/miniwob.click-checkboxes-soft</x:v>
      </x:c>
      <x:c r="I257" s="6" t="str">
        <x:v>browsergym/miniwob.click-checkboxes-soft</x:v>
      </x:c>
      <x:c r="J257" s="6" t="str">
        <x:v>cf-click-checkboxes-soft-seed1010-hard_wrong_target</x:v>
      </x:c>
      <x:c r="K257" s="6" t="str">
        <x:v>0</x:v>
      </x:c>
      <x:c r="L257" s="20" t="str">
        <x:v>Select words similar to televisions, flame and click Submit.</x:v>
      </x:c>
      <x:c r="M257" s="20" t="str">
        <x:v>click("27", "left")</x:v>
      </x:c>
      <x:c r="N257" s="6" t="str">
        <x:v>0.0</x:v>
      </x:c>
      <x:c r="O257" s="20" t="str">
        <x:v>file:///root/autodl-tmp/miniwob-plusplus/miniwob/html/miniwob/click-checkboxes-soft.html</x:v>
      </x:c>
      <x:c r="P257" s="20" t="str">
        <x:v>Click Checkboxes Task</x:v>
      </x:c>
      <x:c r="Q257" s="20" t="str">
        <x:v>RootWebArea 'Click Checkboxes Task', focused [17] LabelText '', clickable [18] checkbox 'flames', clickable, checked='false' StaticText 'flames' [20] LabelText '', clickable [21] checkbox 'corrupt', clickable, checked='false' StaticText 'corrupt' [23] LabelText '', clickable [24] checkbox 'TVs', clickable, checked='false' StaticText 'TVs' [27] button 'Submit', clickable</x:v>
      </x:c>
      <x:c r="R257" s="20" t="str">
        <x:v>file:///root/autodl-tmp/miniwob-plusplus/miniwob/html/miniwob/click-checkboxes-soft.html</x:v>
      </x:c>
      <x:c r="S257" s="20" t="str">
        <x:v>Click Checkboxes Task</x:v>
      </x:c>
      <x:c r="T257" s="20" t="str">
        <x:v>RootWebArea 'Click Checkboxes Task', focused [17] LabelText '', clickable [18] checkbox 'flames', clickable, checked='false' StaticText 'flames' [20] LabelText '', clickable [21] checkbox 'corrupt', clickable, checked='false' StaticText 'corrupt' [23] LabelText '', clickable [24] checkbox 'TVs', clickable, checked='false' StaticText 'TVs' [27] button 'Submit', clickable, focused</x:v>
      </x:c>
      <x:c r="U257" s="6" t="str">
        <x:v>0</x:v>
      </x:c>
      <x:c r="V257" s="6" t="str">
        <x:v>0</x:v>
      </x:c>
      <x:c r="W257" s="6" t="str">
        <x:v>0</x:v>
      </x:c>
      <x:c r="X257" s="6" t="str">
        <x:v>1</x:v>
      </x:c>
      <x:c r="Y257" s="6" t="str">
        <x:v>0</x:v>
      </x:c>
      <x:c r="Z257" s="6" t="str">
        <x:v>1</x:v>
      </x:c>
      <x:c r="AA257" s="6" t="str">
        <x:v>0.0</x:v>
      </x:c>
      <x:c r="AB257" s="20" t="str">
        <x:v>Codex证据复核v1：原始记录唯一匹配、环境实测、反事实配对ID完整、终止且非成功、奖励非正、队列标签与结果派生规则一致；非人工签字。</x:v>
      </x:c>
    </x:row>
    <x:row r="258" ht="46" customHeight="1">
      <x:c r="A258" s="6" t="str">
        <x:v>1</x:v>
      </x:c>
      <x:c r="B258" s="6" t="str">
        <x:v>1e2e0c108e03fe1410ff</x:v>
      </x:c>
      <x:c r="C258" s="6" t="str">
        <x:v>evidence_approved</x:v>
      </x:c>
      <x:c r="D258" s="6" t="str">
        <x:v>codex-evidence-review-v1</x:v>
      </x:c>
      <x:c r="E258" s="22" t="n">
        <x:v>46244.40206471065</x:v>
      </x:c>
      <x:c r="F258" s="6" t="str">
        <x:v>20</x:v>
      </x:c>
      <x:c r="G258" s="20" t="str">
        <x:v>observed_counterfactual;severe_failure;terminal</x:v>
      </x:c>
      <x:c r="H258" s="20" t="str">
        <x:v>browsergym/miniwob.choose-list</x:v>
      </x:c>
      <x:c r="I258" s="6" t="str">
        <x:v>browsergym/miniwob.choose-list</x:v>
      </x:c>
      <x:c r="J258" s="6" t="str">
        <x:v>cf-choose-list-seed1022-missing_target</x:v>
      </x:c>
      <x:c r="K258" s="6" t="str">
        <x:v>0</x:v>
      </x:c>
      <x:c r="L258" s="20" t="str">
        <x:v>Select Gertrudis from the list and click Submit.</x:v>
      </x:c>
      <x:c r="M258" s="20" t="str">
        <x:v>click("22", "left")</x:v>
      </x:c>
      <x:c r="N258" s="6" t="str">
        <x:v>0.0</x:v>
      </x:c>
      <x:c r="O258" s="20" t="str">
        <x:v>file:///root/autodl-tmp/miniwob-plusplus/miniwob/html/miniwob/choose-list.html</x:v>
      </x:c>
      <x:c r="P258" s="20" t="str">
        <x:v>Choose List Task</x:v>
      </x:c>
      <x:c r="Q258" s="20" t="str">
        <x:v>RootWebArea 'Choose List Task', focused [13] combobox '' value='Aridatha', hasPopup='menu', expanded=False [22] button 'Submit', clickable</x:v>
      </x:c>
      <x:c r="R258" s="20" t="str">
        <x:v>file:///root/autodl-tmp/miniwob-plusplus/miniwob/html/miniwob/choose-list.html</x:v>
      </x:c>
      <x:c r="S258" s="20" t="str">
        <x:v>Choose List Task</x:v>
      </x:c>
      <x:c r="T258" s="20" t="str">
        <x:v>RootWebArea 'Choose List Task', focused [13] combobox '' value='Aridatha', hasPopup='menu', expanded=False [22] button 'Submit', clickable, focused</x:v>
      </x:c>
      <x:c r="U258" s="6" t="str">
        <x:v>0</x:v>
      </x:c>
      <x:c r="V258" s="6" t="str">
        <x:v>0</x:v>
      </x:c>
      <x:c r="W258" s="6" t="str">
        <x:v>0</x:v>
      </x:c>
      <x:c r="X258" s="6" t="str">
        <x:v>1</x:v>
      </x:c>
      <x:c r="Y258" s="6" t="str">
        <x:v>0</x:v>
      </x:c>
      <x:c r="Z258" s="6" t="str">
        <x:v>1</x:v>
      </x:c>
      <x:c r="AA258" s="6" t="str">
        <x:v>0.0</x:v>
      </x:c>
      <x:c r="AB258" s="20" t="str">
        <x:v>Codex证据复核v1：原始记录唯一匹配、环境实测、反事实配对ID完整、终止且非成功、奖励非正、队列标签与结果派生规则一致；非人工签字。</x:v>
      </x:c>
    </x:row>
    <x:row r="259" ht="46" customHeight="1">
      <x:c r="A259" s="6" t="str">
        <x:v>1</x:v>
      </x:c>
      <x:c r="B259" s="6" t="str">
        <x:v>df508a8cd028ca102112</x:v>
      </x:c>
      <x:c r="C259" s="6" t="str">
        <x:v>evidence_approved</x:v>
      </x:c>
      <x:c r="D259" s="6" t="str">
        <x:v>codex-evidence-review-v1</x:v>
      </x:c>
      <x:c r="E259" s="22" t="n">
        <x:v>46244.40206471065</x:v>
      </x:c>
      <x:c r="F259" s="6" t="str">
        <x:v>20</x:v>
      </x:c>
      <x:c r="G259" s="20" t="str">
        <x:v>observed_counterfactual;severe_failure;terminal</x:v>
      </x:c>
      <x:c r="H259" s="20" t="str">
        <x:v>browsergym/miniwob.click-test-2</x:v>
      </x:c>
      <x:c r="I259" s="6" t="str">
        <x:v>browsergym/miniwob.click-test-2</x:v>
      </x:c>
      <x:c r="J259" s="6" t="str">
        <x:v>cf-click-test-2-seed1013-hard_wrong_target</x:v>
      </x:c>
      <x:c r="K259" s="6" t="str">
        <x:v>0</x:v>
      </x:c>
      <x:c r="L259" s="20" t="str">
        <x:v>Click button ONE.</x:v>
      </x:c>
      <x:c r="M259" s="20" t="str">
        <x:v>click("14", "left")</x:v>
      </x:c>
      <x:c r="N259" s="6" t="str">
        <x:v>0.0</x:v>
      </x:c>
      <x:c r="O259" s="20" t="str">
        <x:v>file:///root/autodl-tmp/miniwob-plusplus/miniwob/html/miniwob/click-test-2.html</x:v>
      </x:c>
      <x:c r="P259" s="20" t="str">
        <x:v>Click Test Task</x:v>
      </x:c>
      <x:c r="Q259" s="20" t="str">
        <x:v>RootWebArea 'Click Test Task', focused [13] button 'ONE', clickable [14] button 'TWO', clickable</x:v>
      </x:c>
      <x:c r="R259" s="20" t="str">
        <x:v>file:///root/autodl-tmp/miniwob-plusplus/miniwob/html/miniwob/click-test-2.html</x:v>
      </x:c>
      <x:c r="S259" s="20" t="str">
        <x:v>Click Test Task</x:v>
      </x:c>
      <x:c r="T259" s="20" t="str">
        <x:v>RootWebArea 'Click Test Task', focused [13] button 'ONE', clickable [14] button 'TWO', clickable, focused</x:v>
      </x:c>
      <x:c r="U259" s="6" t="str">
        <x:v>0</x:v>
      </x:c>
      <x:c r="V259" s="6" t="str">
        <x:v>0</x:v>
      </x:c>
      <x:c r="W259" s="6" t="str">
        <x:v>0</x:v>
      </x:c>
      <x:c r="X259" s="6" t="str">
        <x:v>1</x:v>
      </x:c>
      <x:c r="Y259" s="6" t="str">
        <x:v>0</x:v>
      </x:c>
      <x:c r="Z259" s="6" t="str">
        <x:v>1</x:v>
      </x:c>
      <x:c r="AA259" s="6" t="str">
        <x:v>0.0</x:v>
      </x:c>
      <x:c r="AB259" s="20" t="str">
        <x:v>Codex证据复核v1：原始记录唯一匹配、环境实测、反事实配对ID完整、终止且非成功、奖励非正、队列标签与结果派生规则一致；非人工签字。</x:v>
      </x:c>
    </x:row>
    <x:row r="260" ht="46" customHeight="1">
      <x:c r="A260" s="6" t="str">
        <x:v>1</x:v>
      </x:c>
      <x:c r="B260" s="6" t="str">
        <x:v>906e054c9c294a68729f</x:v>
      </x:c>
      <x:c r="C260" s="6" t="str">
        <x:v>evidence_approved</x:v>
      </x:c>
      <x:c r="D260" s="6" t="str">
        <x:v>codex-evidence-review-v1</x:v>
      </x:c>
      <x:c r="E260" s="22" t="n">
        <x:v>46244.40206471065</x:v>
      </x:c>
      <x:c r="F260" s="6" t="str">
        <x:v>20</x:v>
      </x:c>
      <x:c r="G260" s="20" t="str">
        <x:v>observed_counterfactual;severe_failure;terminal</x:v>
      </x:c>
      <x:c r="H260" s="20" t="str">
        <x:v>browsergym/miniwob.click-widget</x:v>
      </x:c>
      <x:c r="I260" s="6" t="str">
        <x:v>browsergym/miniwob.click-widget</x:v>
      </x:c>
      <x:c r="J260" s="6" t="str">
        <x:v>cf-click-widget-seed1013-wrong_action_type</x:v>
      </x:c>
      <x:c r="K260" s="6" t="str">
        <x:v>0</x:v>
      </x:c>
      <x:c r="L260" s="20" t="str">
        <x:v>Click on a "textarea" widget.</x:v>
      </x:c>
      <x:c r="M260" s="20" t="str">
        <x:v>click("22", "left")</x:v>
      </x:c>
      <x:c r="N260" s="6" t="str">
        <x:v>0.0</x:v>
      </x:c>
      <x:c r="O260" s="20" t="str">
        <x:v>file:///root/autodl-tmp/miniwob-plusplus/miniwob/html/miniwob/click-widget.html</x:v>
      </x:c>
      <x:c r="P260" s="20" t="str">
        <x:v>Click Widget Task</x:v>
      </x:c>
      <x:c r="Q260" s="20" t="str">
        <x:v>RootWebArea 'Click Widget Task', focused [14] textbox '' value='qp' StaticText 'qp' [16] textbox '' value='Ke', clickable StaticText 'Ke' [18] LabelText '', clickable [19] radio 'orsgi', clickable, checked='false' StaticText 'orsgi' [21] LabelText '', clickable [22] radio 'U91B', clickable, checked='false' StaticText 'U91B' [24] textbox '' value='ksuby' StaticText 'ksuby'</x:v>
      </x:c>
      <x:c r="R260" s="20" t="str">
        <x:v>file:///root/autodl-tmp/miniwob-plusplus/miniwob/html/miniwob/click-widget.html</x:v>
      </x:c>
      <x:c r="S260" s="20" t="str">
        <x:v>Click Widget Task</x:v>
      </x:c>
      <x:c r="T260" s="20" t="str">
        <x:v>RootWebArea 'Click Widget Task', focused [14] textbox '' value='qp' StaticText 'qp' [16] textbox '' value='Ke', clickable StaticText 'Ke' [18] LabelText '', clickable [19] radio 'orsgi', clickable, checked='false' StaticText 'orsgi' [21] LabelText '', clickable [22] radio 'U91B', clickable, focused, checked='true' StaticText 'U91B' [24] textbox '' value='ksuby' StaticText 'ksuby'</x:v>
      </x:c>
      <x:c r="U260" s="6" t="str">
        <x:v>0</x:v>
      </x:c>
      <x:c r="V260" s="6" t="str">
        <x:v>0</x:v>
      </x:c>
      <x:c r="W260" s="6" t="str">
        <x:v>0</x:v>
      </x:c>
      <x:c r="X260" s="6" t="str">
        <x:v>1</x:v>
      </x:c>
      <x:c r="Y260" s="6" t="str">
        <x:v>0</x:v>
      </x:c>
      <x:c r="Z260" s="6" t="str">
        <x:v>1</x:v>
      </x:c>
      <x:c r="AA260" s="6" t="str">
        <x:v>0.0</x:v>
      </x:c>
      <x:c r="AB260" s="20" t="str">
        <x:v>Codex证据复核v1：原始记录唯一匹配、环境实测、反事实配对ID完整、终止且非成功、奖励非正、队列标签与结果派生规则一致；非人工签字。</x:v>
      </x:c>
    </x:row>
    <x:row r="261" ht="46" customHeight="1">
      <x:c r="A261" s="6" t="str">
        <x:v>1</x:v>
      </x:c>
      <x:c r="B261" s="6" t="str">
        <x:v>365b4b8b90327e1e8d65</x:v>
      </x:c>
      <x:c r="C261" s="6" t="str">
        <x:v>evidence_approved</x:v>
      </x:c>
      <x:c r="D261" s="6" t="str">
        <x:v>codex-evidence-review-v1</x:v>
      </x:c>
      <x:c r="E261" s="22" t="n">
        <x:v>46244.40206471065</x:v>
      </x:c>
      <x:c r="F261" s="6" t="str">
        <x:v>20</x:v>
      </x:c>
      <x:c r="G261" s="20" t="str">
        <x:v>observed_counterfactual;severe_failure;terminal</x:v>
      </x:c>
      <x:c r="H261" s="20" t="str">
        <x:v>browsergym/miniwob.click-dialog-2</x:v>
      </x:c>
      <x:c r="I261" s="6" t="str">
        <x:v>browsergym/miniwob.click-dialog-2</x:v>
      </x:c>
      <x:c r="J261" s="6" t="str">
        <x:v>cf-click-dialog-2-seed1025-hard_wrong_target</x:v>
      </x:c>
      <x:c r="K261" s="6" t="str">
        <x:v>0</x:v>
      </x:c>
      <x:c r="L261" s="20" t="str">
        <x:v>Click the button in the dialog box labeled "Cancel".</x:v>
      </x:c>
      <x:c r="M261" s="20" t="str">
        <x:v>click("28", "left")</x:v>
      </x:c>
      <x:c r="N261" s="6" t="str">
        <x:v>0.0</x:v>
      </x:c>
      <x:c r="O261" s="20" t="str">
        <x:v>file:///root/autodl-tmp/miniwob-plusplus/miniwob/html/miniwob/click-dialog-2.html</x:v>
      </x:c>
      <x:c r="P261" s="20" t="str">
        <x:v>Click Dialog Task</x:v>
      </x:c>
      <x:c r="Q261" s="20" t="str">
        <x:v>RootWebArea 'Click Dialog Task', focused [17] dialog '', clickable, modal=False, describedby='dialog' StaticText '' [20] button 'Close', clickable [24] paragraph '' StaticText 'Quis nunc turpis suspendisse sed adipiscing.' [27] button 'Cancel', clickable, focused [28] button 'OK', clickable</x:v>
      </x:c>
      <x:c r="R261" s="20" t="str">
        <x:v>file:///root/autodl-tmp/miniwob-plusplus/miniwob/html/miniwob/click-dialog-2.html</x:v>
      </x:c>
      <x:c r="S261" s="20" t="str">
        <x:v>Click Dialog Task</x:v>
      </x:c>
      <x:c r="T261" s="20" t="str">
        <x:v>RootWebArea 'Click Dialog Task', focused [17] dialog '', clickable, modal=False, describedby='dialog' StaticText '' [20] button 'Close', clickable [24] paragraph '' StaticText 'Quis nunc turpis suspendisse sed adipiscing.' [27] button 'Cancel', clickable [28] button 'OK', clickable, focused</x:v>
      </x:c>
      <x:c r="U261" s="6" t="str">
        <x:v>0</x:v>
      </x:c>
      <x:c r="V261" s="6" t="str">
        <x:v>0</x:v>
      </x:c>
      <x:c r="W261" s="6" t="str">
        <x:v>0</x:v>
      </x:c>
      <x:c r="X261" s="6" t="str">
        <x:v>1</x:v>
      </x:c>
      <x:c r="Y261" s="6" t="str">
        <x:v>0</x:v>
      </x:c>
      <x:c r="Z261" s="6" t="str">
        <x:v>1</x:v>
      </x:c>
      <x:c r="AA261" s="6" t="str">
        <x:v>0.0</x:v>
      </x:c>
      <x:c r="AB261" s="20" t="str">
        <x:v>Codex证据复核v1：原始记录唯一匹配、环境实测、反事实配对ID完整、终止且非成功、奖励非正、队列标签与结果派生规则一致；非人工签字。</x:v>
      </x:c>
    </x:row>
    <x:row r="262" ht="46" customHeight="1">
      <x:c r="A262" s="6" t="str">
        <x:v>1</x:v>
      </x:c>
      <x:c r="B262" s="6" t="str">
        <x:v>e763320a2133e7b1786b</x:v>
      </x:c>
      <x:c r="C262" s="6" t="str">
        <x:v>evidence_approved</x:v>
      </x:c>
      <x:c r="D262" s="6" t="str">
        <x:v>codex-evidence-review-v1</x:v>
      </x:c>
      <x:c r="E262" s="22" t="n">
        <x:v>46244.40206471065</x:v>
      </x:c>
      <x:c r="F262" s="6" t="str">
        <x:v>20</x:v>
      </x:c>
      <x:c r="G262" s="20" t="str">
        <x:v>observed_counterfactual;severe_failure;terminal</x:v>
      </x:c>
      <x:c r="H262" s="20" t="str">
        <x:v>browsergym/miniwob.click-menu</x:v>
      </x:c>
      <x:c r="I262" s="6" t="str">
        <x:v>browsergym/miniwob.click-menu</x:v>
      </x:c>
      <x:c r="J262" s="6" t="str">
        <x:v>cf-click-menu-seed1004-hard_wrong_target</x:v>
      </x:c>
      <x:c r="K262" s="6" t="str">
        <x:v>0</x:v>
      </x:c>
      <x:c r="L262" s="20" t="str">
        <x:v>Select Clemmy&gt;Dredi&gt;Adella</x:v>
      </x:c>
      <x:c r="M262" s="20" t="str">
        <x:v>click("33", "left")</x:v>
      </x:c>
      <x:c r="N262" s="6" t="str">
        <x:v>0.0</x:v>
      </x:c>
      <x:c r="O262" s="20" t="str">
        <x:v>file:///root/autodl-tmp/miniwob-plusplus/miniwob/html/miniwob/click-menu.html</x:v>
      </x:c>
      <x:c r="P262" s="20" t="str">
        <x:v>Click Menu Task</x:v>
      </x:c>
      <x:c r="Q262" s="20" t="str">
        <x:v>RootWebArea 'Click Menu Task', focused [17] menu '', clickable, orientation='vertical' image '' [19] menuitem 'Dion', hasPopup='menu' image '' [33] menuitem 'Clemmy', hasPopup='menu' image '' [69] menuitem 'Clarey' image '' [71] menuitem 'Cosette', hasPopup='menu'</x:v>
      </x:c>
      <x:c r="R262" s="20" t="str">
        <x:v>file:///root/autodl-tmp/miniwob-plusplus/miniwob/html/miniwob/click-menu.html</x:v>
      </x:c>
      <x:c r="S262" s="20" t="str">
        <x:v>Click Menu Task</x:v>
      </x:c>
      <x:c r="T262" s="20" t="str">
        <x:v>RootWebArea 'Click Menu Task', focused [17] menu '', clickable, orientation='vertical' image '' [19] menuitem 'Dion', hasPopup='menu' image '' [33] menuitem 'Clemmy', hasPopup='menu' [35] menu '', orientation='vertical' image '' [37] menuitem 'Twyla', hasPopup='menu' image '' [47] menuitem 'Dredi', hasPopup='menu' image '' [57] menuitem 'Grier', hasPopup='menu' image '' [69] menuitem 'Clarey' image '' [71] menuitem 'Cosette', hasPopup='menu'</x:v>
      </x:c>
      <x:c r="U262" s="6" t="str">
        <x:v>0</x:v>
      </x:c>
      <x:c r="V262" s="6" t="str">
        <x:v>0</x:v>
      </x:c>
      <x:c r="W262" s="6" t="str">
        <x:v>0</x:v>
      </x:c>
      <x:c r="X262" s="6" t="str">
        <x:v>1</x:v>
      </x:c>
      <x:c r="Y262" s="6" t="str">
        <x:v>0</x:v>
      </x:c>
      <x:c r="Z262" s="6" t="str">
        <x:v>1</x:v>
      </x:c>
      <x:c r="AA262" s="6" t="str">
        <x:v>0.0</x:v>
      </x:c>
      <x:c r="AB262" s="20" t="str">
        <x:v>Codex证据复核v1：原始记录唯一匹配、环境实测、反事实配对ID完整、终止且非成功、奖励非正、队列标签与结果派生规则一致；非人工签字。</x:v>
      </x:c>
    </x:row>
    <x:row r="263" ht="46" customHeight="1">
      <x:c r="A263" s="6" t="str">
        <x:v>1</x:v>
      </x:c>
      <x:c r="B263" s="6" t="str">
        <x:v>9937be433e71ff7d834b</x:v>
      </x:c>
      <x:c r="C263" s="6" t="str">
        <x:v>evidence_approved</x:v>
      </x:c>
      <x:c r="D263" s="6" t="str">
        <x:v>codex-evidence-review-v1</x:v>
      </x:c>
      <x:c r="E263" s="22" t="n">
        <x:v>46244.40206471065</x:v>
      </x:c>
      <x:c r="F263" s="6" t="str">
        <x:v>20</x:v>
      </x:c>
      <x:c r="G263" s="20" t="str">
        <x:v>observed_counterfactual;severe_failure;terminal</x:v>
      </x:c>
      <x:c r="H263" s="20" t="str">
        <x:v>browsergym/miniwob.click-widget</x:v>
      </x:c>
      <x:c r="I263" s="6" t="str">
        <x:v>browsergym/miniwob.click-widget</x:v>
      </x:c>
      <x:c r="J263" s="6" t="str">
        <x:v>cf-click-widget-seed1020-wrong_action_type</x:v>
      </x:c>
      <x:c r="K263" s="6" t="str">
        <x:v>0</x:v>
      </x:c>
      <x:c r="L263" s="20" t="str">
        <x:v>Click on a "textarea" widget.</x:v>
      </x:c>
      <x:c r="M263" s="20" t="str">
        <x:v>click("21", "left")</x:v>
      </x:c>
      <x:c r="N263" s="6" t="str">
        <x:v>0.0</x:v>
      </x:c>
      <x:c r="O263" s="20" t="str">
        <x:v>file:///root/autodl-tmp/miniwob-plusplus/miniwob/html/miniwob/click-widget.html</x:v>
      </x:c>
      <x:c r="P263" s="20" t="str">
        <x:v>Click Widget Task</x:v>
      </x:c>
      <x:c r="Q263" s="20" t="str">
        <x:v>RootWebArea 'Click Widget Task', focused [14] LabelText '', clickable [15] checkbox 'VG', clickable, checked='false' StaticText 'VG' [17] button 'Qn' [19] textbox '' value='Ar' StaticText 'Ar' [21] button 'Q' [23] textbox '' value='E' StaticText 'E'</x:v>
      </x:c>
      <x:c r="R263" s="20" t="str">
        <x:v>file:///root/autodl-tmp/miniwob-plusplus/miniwob/html/miniwob/click-widget.html</x:v>
      </x:c>
      <x:c r="S263" s="20" t="str">
        <x:v>Click Widget Task</x:v>
      </x:c>
      <x:c r="T263" s="20" t="str">
        <x:v>RootWebArea 'Click Widget Task', focused [14] LabelText '', clickable [15] checkbox 'VG', clickable, checked='false' StaticText 'VG' [17] button 'Qn' [19] textbox '' value='Ar' StaticText 'Ar' [21] button 'Q', focused [23] textbox '' value='E' StaticText 'E'</x:v>
      </x:c>
      <x:c r="U263" s="6" t="str">
        <x:v>0</x:v>
      </x:c>
      <x:c r="V263" s="6" t="str">
        <x:v>0</x:v>
      </x:c>
      <x:c r="W263" s="6" t="str">
        <x:v>0</x:v>
      </x:c>
      <x:c r="X263" s="6" t="str">
        <x:v>1</x:v>
      </x:c>
      <x:c r="Y263" s="6" t="str">
        <x:v>0</x:v>
      </x:c>
      <x:c r="Z263" s="6" t="str">
        <x:v>1</x:v>
      </x:c>
      <x:c r="AA263" s="6" t="str">
        <x:v>0.0</x:v>
      </x:c>
      <x:c r="AB263" s="20" t="str">
        <x:v>Codex证据复核v1：原始记录唯一匹配、环境实测、反事实配对ID完整、终止且非成功、奖励非正、队列标签与结果派生规则一致；非人工签字。</x:v>
      </x:c>
    </x:row>
    <x:row r="264" ht="46" customHeight="1">
      <x:c r="A264" s="6" t="str">
        <x:v>1</x:v>
      </x:c>
      <x:c r="B264" s="6" t="str">
        <x:v>2887857f634b6815f36a</x:v>
      </x:c>
      <x:c r="C264" s="6" t="str">
        <x:v>evidence_approved</x:v>
      </x:c>
      <x:c r="D264" s="6" t="str">
        <x:v>codex-evidence-review-v1</x:v>
      </x:c>
      <x:c r="E264" s="22" t="n">
        <x:v>46244.40206471065</x:v>
      </x:c>
      <x:c r="F264" s="6" t="str">
        <x:v>20</x:v>
      </x:c>
      <x:c r="G264" s="20" t="str">
        <x:v>observed_counterfactual;severe_failure;terminal</x:v>
      </x:c>
      <x:c r="H264" s="20" t="str">
        <x:v>browsergym/miniwob.click-menu</x:v>
      </x:c>
      <x:c r="I264" s="6" t="str">
        <x:v>browsergym/miniwob.click-menu</x:v>
      </x:c>
      <x:c r="J264" s="6" t="str">
        <x:v>cf-click-menu-seed1004-missing_target</x:v>
      </x:c>
      <x:c r="K264" s="6" t="str">
        <x:v>0</x:v>
      </x:c>
      <x:c r="L264" s="20" t="str">
        <x:v>Select Clemmy&gt;Dredi&gt;Adella</x:v>
      </x:c>
      <x:c r="M264" s="20" t="str">
        <x:v>click("33", "left")</x:v>
      </x:c>
      <x:c r="N264" s="6" t="str">
        <x:v>0.0</x:v>
      </x:c>
      <x:c r="O264" s="20" t="str">
        <x:v>file:///root/autodl-tmp/miniwob-plusplus/miniwob/html/miniwob/click-menu.html</x:v>
      </x:c>
      <x:c r="P264" s="20" t="str">
        <x:v>Click Menu Task</x:v>
      </x:c>
      <x:c r="Q264" s="20" t="str">
        <x:v>RootWebArea 'Click Menu Task', focused [17] menu '', clickable, orientation='vertical' image '' [19] menuitem 'Dion', hasPopup='menu' image '' [33] menuitem 'Clemmy', hasPopup='menu' image '' [69] menuitem 'Clarey' image '' [71] menuitem 'Cosette', hasPopup='menu'</x:v>
      </x:c>
      <x:c r="R264" s="20" t="str">
        <x:v>file:///root/autodl-tmp/miniwob-plusplus/miniwob/html/miniwob/click-menu.html</x:v>
      </x:c>
      <x:c r="S264" s="20" t="str">
        <x:v>Click Menu Task</x:v>
      </x:c>
      <x:c r="T264" s="20" t="str">
        <x:v>RootWebArea 'Click Menu Task', focused [17] menu '', clickable, orientation='vertical' image '' [19] menuitem 'Dion', hasPopup='menu' image '' [33] menuitem 'Clemmy', hasPopup='menu' [35] menu '', orientation='vertical' image '' [37] menuitem 'Twyla', hasPopup='menu' image '' [47] menuitem 'Dredi', hasPopup='menu' image '' [57] menuitem 'Grier', hasPopup='menu' image '' [69] menuitem 'Clarey' image '' [71] menuitem 'Cosette', hasPopup='menu'</x:v>
      </x:c>
      <x:c r="U264" s="6" t="str">
        <x:v>0</x:v>
      </x:c>
      <x:c r="V264" s="6" t="str">
        <x:v>0</x:v>
      </x:c>
      <x:c r="W264" s="6" t="str">
        <x:v>0</x:v>
      </x:c>
      <x:c r="X264" s="6" t="str">
        <x:v>1</x:v>
      </x:c>
      <x:c r="Y264" s="6" t="str">
        <x:v>0</x:v>
      </x:c>
      <x:c r="Z264" s="6" t="str">
        <x:v>1</x:v>
      </x:c>
      <x:c r="AA264" s="6" t="str">
        <x:v>0.0</x:v>
      </x:c>
      <x:c r="AB264" s="20" t="str">
        <x:v>Codex证据复核v1：原始记录唯一匹配、环境实测、反事实配对ID完整、终止且非成功、奖励非正、队列标签与结果派生规则一致；非人工签字。</x:v>
      </x:c>
    </x:row>
    <x:row r="265" ht="46" customHeight="1">
      <x:c r="A265" s="6" t="str">
        <x:v>1</x:v>
      </x:c>
      <x:c r="B265" s="6" t="str">
        <x:v>3b241cc7a0a1a1748657</x:v>
      </x:c>
      <x:c r="C265" s="6" t="str">
        <x:v>evidence_approved</x:v>
      </x:c>
      <x:c r="D265" s="6" t="str">
        <x:v>codex-evidence-review-v1</x:v>
      </x:c>
      <x:c r="E265" s="22" t="n">
        <x:v>46244.40206471065</x:v>
      </x:c>
      <x:c r="F265" s="6" t="str">
        <x:v>20</x:v>
      </x:c>
      <x:c r="G265" s="20" t="str">
        <x:v>observed_counterfactual;severe_failure;terminal</x:v>
      </x:c>
      <x:c r="H265" s="20" t="str">
        <x:v>browsergym/miniwob.enter-text-dynamic</x:v>
      </x:c>
      <x:c r="I265" s="6" t="str">
        <x:v>browsergym/miniwob.enter-text-dynamic</x:v>
      </x:c>
      <x:c r="J265" s="6" t="str">
        <x:v>cf-enter-text-dynamic-seed1025-hard_wrong_target</x:v>
      </x:c>
      <x:c r="K265" s="6" t="str">
        <x:v>0</x:v>
      </x:c>
      <x:c r="L265" s="20" t="str">
        <x:v>Enter "hhSx" into the text field and press Submit.</x:v>
      </x:c>
      <x:c r="M265" s="20" t="str">
        <x:v>click("15", "left")</x:v>
      </x:c>
      <x:c r="N265" s="6" t="str">
        <x:v>0.0</x:v>
      </x:c>
      <x:c r="O265" s="20" t="str">
        <x:v>file:///root/autodl-tmp/miniwob-plusplus/miniwob/html/miniwob/enter-text-dynamic.html</x:v>
      </x:c>
      <x:c r="P265" s="20" t="str">
        <x:v>Enter Dynamic Text Task</x:v>
      </x:c>
      <x:c r="Q265" s="20" t="str">
        <x:v>RootWebArea 'Enter Dynamic Text Task', focused [14] textbox '', clickable [15] button 'Submit', clickable</x:v>
      </x:c>
      <x:c r="R265" s="20" t="str">
        <x:v>file:///root/autodl-tmp/miniwob-plusplus/miniwob/html/miniwob/enter-text-dynamic.html</x:v>
      </x:c>
      <x:c r="S265" s="20" t="str">
        <x:v>Enter Dynamic Text Task</x:v>
      </x:c>
      <x:c r="T265" s="20" t="str">
        <x:v>RootWebArea 'Enter Dynamic Text Task', focused [14] textbox '', clickable [15] button 'Submit', clickable, focused</x:v>
      </x:c>
      <x:c r="U265" s="6" t="str">
        <x:v>0</x:v>
      </x:c>
      <x:c r="V265" s="6" t="str">
        <x:v>0</x:v>
      </x:c>
      <x:c r="W265" s="6" t="str">
        <x:v>0</x:v>
      </x:c>
      <x:c r="X265" s="6" t="str">
        <x:v>1</x:v>
      </x:c>
      <x:c r="Y265" s="6" t="str">
        <x:v>0</x:v>
      </x:c>
      <x:c r="Z265" s="6" t="str">
        <x:v>1</x:v>
      </x:c>
      <x:c r="AA265" s="6" t="str">
        <x:v>0.0</x:v>
      </x:c>
      <x:c r="AB265" s="20" t="str">
        <x:v>Codex证据复核v1：原始记录唯一匹配、环境实测、反事实配对ID完整、终止且非成功、奖励非正、队列标签与结果派生规则一致；非人工签字。</x:v>
      </x:c>
    </x:row>
    <x:row r="266" ht="46" customHeight="1">
      <x:c r="A266" s="6" t="str">
        <x:v>1</x:v>
      </x:c>
      <x:c r="B266" s="6" t="str">
        <x:v>39bbcb5ffacd5b110172</x:v>
      </x:c>
      <x:c r="C266" s="6" t="str">
        <x:v>evidence_approved</x:v>
      </x:c>
      <x:c r="D266" s="6" t="str">
        <x:v>codex-evidence-review-v1</x:v>
      </x:c>
      <x:c r="E266" s="22" t="n">
        <x:v>46244.40206471065</x:v>
      </x:c>
      <x:c r="F266" s="6" t="str">
        <x:v>20</x:v>
      </x:c>
      <x:c r="G266" s="20" t="str">
        <x:v>observed_counterfactual;severe_failure;terminal</x:v>
      </x:c>
      <x:c r="H266" s="20" t="str">
        <x:v>browsergym/miniwob.click-menu</x:v>
      </x:c>
      <x:c r="I266" s="6" t="str">
        <x:v>browsergym/miniwob.click-menu</x:v>
      </x:c>
      <x:c r="J266" s="6" t="str">
        <x:v>cf-click-menu-seed1027-wrong_action_type</x:v>
      </x:c>
      <x:c r="K266" s="6" t="str">
        <x:v>0</x:v>
      </x:c>
      <x:c r="L266" s="20" t="str">
        <x:v>Select Floria&gt;Ina&gt;Larisa</x:v>
      </x:c>
      <x:c r="M266" s="20" t="str">
        <x:v>click("19", "left")</x:v>
      </x:c>
      <x:c r="N266" s="6" t="str">
        <x:v>0.0</x:v>
      </x:c>
      <x:c r="O266" s="20" t="str">
        <x:v>file:///root/autodl-tmp/miniwob-plusplus/miniwob/html/miniwob/click-menu.html</x:v>
      </x:c>
      <x:c r="P266" s="20" t="str">
        <x:v>Click Menu Task</x:v>
      </x:c>
      <x:c r="Q266" s="20" t="str">
        <x:v>RootWebArea 'Click Menu Task', focused [17] menu '', clickable, orientation='vertical' image '' [19] menuitem 'Floria', hasPopup='menu' image '' [53] menuitem 'Sarene', hasPopup='menu' image '' [89] menuitem 'Cloe', hasPopup='menu'</x:v>
      </x:c>
      <x:c r="R266" s="20" t="str">
        <x:v>file:///root/autodl-tmp/miniwob-plusplus/miniwob/html/miniwob/click-menu.html</x:v>
      </x:c>
      <x:c r="S266" s="20" t="str">
        <x:v>Click Menu Task</x:v>
      </x:c>
      <x:c r="T266" s="20" t="str">
        <x:v>RootWebArea 'Click Menu Task', focused [17] menu '', clickable, orientation='vertical' image '' [19] menuitem 'Floria', hasPopup='menu' [21] menu '', orientation='vertical' image '' [23] menuitem 'Mora', hasPopup='menu' image '' [33] menuitem 'Ina', hasPopup='menu' image '' [43] menuitem 'Georgeta', hasPopup='menu' image '' [51] menuitem 'Pavla' image '' [53] menuitem 'Sarene', hasPopup='menu' image '' [89] menuitem 'Cloe', hasPopup='menu'</x:v>
      </x:c>
      <x:c r="U266" s="6" t="str">
        <x:v>0</x:v>
      </x:c>
      <x:c r="V266" s="6" t="str">
        <x:v>0</x:v>
      </x:c>
      <x:c r="W266" s="6" t="str">
        <x:v>0</x:v>
      </x:c>
      <x:c r="X266" s="6" t="str">
        <x:v>1</x:v>
      </x:c>
      <x:c r="Y266" s="6" t="str">
        <x:v>0</x:v>
      </x:c>
      <x:c r="Z266" s="6" t="str">
        <x:v>1</x:v>
      </x:c>
      <x:c r="AA266" s="6" t="str">
        <x:v>0.0</x:v>
      </x:c>
      <x:c r="AB266" s="20" t="str">
        <x:v>Codex证据复核v1：原始记录唯一匹配、环境实测、反事实配对ID完整、终止且非成功、奖励非正、队列标签与结果派生规则一致；非人工签字。</x:v>
      </x:c>
    </x:row>
    <x:row r="267" ht="46" customHeight="1">
      <x:c r="A267" s="6" t="str">
        <x:v>1</x:v>
      </x:c>
      <x:c r="B267" s="6" t="str">
        <x:v>5d339fbfe7375584a376</x:v>
      </x:c>
      <x:c r="C267" s="6" t="str">
        <x:v>evidence_approved</x:v>
      </x:c>
      <x:c r="D267" s="6" t="str">
        <x:v>codex-evidence-review-v1</x:v>
      </x:c>
      <x:c r="E267" s="22" t="n">
        <x:v>46244.40206471065</x:v>
      </x:c>
      <x:c r="F267" s="6" t="str">
        <x:v>20</x:v>
      </x:c>
      <x:c r="G267" s="20" t="str">
        <x:v>observed_counterfactual;severe_failure;terminal</x:v>
      </x:c>
      <x:c r="H267" s="20" t="str">
        <x:v>browsergym/miniwob.login-user</x:v>
      </x:c>
      <x:c r="I267" s="6" t="str">
        <x:v>browsergym/miniwob.login-user</x:v>
      </x:c>
      <x:c r="J267" s="6" t="str">
        <x:v>cf-login-user-seed1002-hard_wrong_target</x:v>
      </x:c>
      <x:c r="K267" s="6" t="str">
        <x:v>0</x:v>
      </x:c>
      <x:c r="L267" s="20" t="str">
        <x:v>Enter the username "donovan" and the password "ynF" into the text fields and press login.</x:v>
      </x:c>
      <x:c r="M267" s="20" t="str">
        <x:v>click("20", "left")</x:v>
      </x:c>
      <x:c r="N267" s="6" t="str">
        <x:v>0.0</x:v>
      </x:c>
      <x:c r="O267" s="20" t="str">
        <x:v>file:///root/autodl-tmp/miniwob-plusplus/miniwob/html/miniwob/login-user.html</x:v>
      </x:c>
      <x:c r="P267" s="20" t="str">
        <x:v>Login User Task</x:v>
      </x:c>
      <x:c r="Q267" s="20" t="str">
        <x:v>RootWebArea 'Login User Task', focused [14] paragraph '' [15] LabelText '' StaticText 'Username' [16] textbox '', clickable [17] paragraph '' [18] LabelText '' StaticText 'Password' [19] textbox '', clickable [20] button 'Login', clickable</x:v>
      </x:c>
      <x:c r="R267" s="20" t="str">
        <x:v>file:///root/autodl-tmp/miniwob-plusplus/miniwob/html/miniwob/login-user.html</x:v>
      </x:c>
      <x:c r="S267" s="20" t="str">
        <x:v>Login User Task</x:v>
      </x:c>
      <x:c r="T267" s="20" t="str">
        <x:v>RootWebArea 'Login User Task', focused [14] paragraph '' [15] LabelText '' StaticText 'Username' [16] textbox '', clickable [17] paragraph '' [18] LabelText '' StaticText 'Password' [19] textbox '', clickable [20] button 'Login', clickable, focused</x:v>
      </x:c>
      <x:c r="U267" s="6" t="str">
        <x:v>0</x:v>
      </x:c>
      <x:c r="V267" s="6" t="str">
        <x:v>0</x:v>
      </x:c>
      <x:c r="W267" s="6" t="str">
        <x:v>0</x:v>
      </x:c>
      <x:c r="X267" s="6" t="str">
        <x:v>1</x:v>
      </x:c>
      <x:c r="Y267" s="6" t="str">
        <x:v>0</x:v>
      </x:c>
      <x:c r="Z267" s="6" t="str">
        <x:v>1</x:v>
      </x:c>
      <x:c r="AA267" s="6" t="str">
        <x:v>0.0</x:v>
      </x:c>
      <x:c r="AB267" s="20" t="str">
        <x:v>Codex证据复核v1：原始记录唯一匹配、环境实测、反事实配对ID完整、终止且非成功、奖励非正、队列标签与结果派生规则一致；非人工签字。</x:v>
      </x:c>
    </x:row>
    <x:row r="268" ht="46" customHeight="1">
      <x:c r="A268" s="6" t="str">
        <x:v>1</x:v>
      </x:c>
      <x:c r="B268" s="6" t="str">
        <x:v>8241b03c553ab5891837</x:v>
      </x:c>
      <x:c r="C268" s="6" t="str">
        <x:v>evidence_approved</x:v>
      </x:c>
      <x:c r="D268" s="6" t="str">
        <x:v>codex-evidence-review-v1</x:v>
      </x:c>
      <x:c r="E268" s="22" t="n">
        <x:v>46244.40206471065</x:v>
      </x:c>
      <x:c r="F268" s="6" t="str">
        <x:v>20</x:v>
      </x:c>
      <x:c r="G268" s="20" t="str">
        <x:v>observed_counterfactual;severe_failure;terminal</x:v>
      </x:c>
      <x:c r="H268" s="20" t="str">
        <x:v>browsergym/miniwob.click-checkboxes</x:v>
      </x:c>
      <x:c r="I268" s="6" t="str">
        <x:v>browsergym/miniwob.click-checkboxes</x:v>
      </x:c>
      <x:c r="J268" s="6" t="str">
        <x:v>cf-click-checkboxes-seed1036-hard_wrong_target</x:v>
      </x:c>
      <x:c r="K268" s="6" t="str">
        <x:v>0</x:v>
      </x:c>
      <x:c r="L268" s="20" t="str">
        <x:v>Select 4zO, yM, M8S and click Submit.</x:v>
      </x:c>
      <x:c r="M268" s="20" t="str">
        <x:v>click("30", "left")</x:v>
      </x:c>
      <x:c r="N268" s="6" t="str">
        <x:v>0.0</x:v>
      </x:c>
      <x:c r="O268" s="20" t="str">
        <x:v>file:///root/autodl-tmp/miniwob-plusplus/miniwob/html/miniwob/click-checkboxes.html</x:v>
      </x:c>
      <x:c r="P268" s="20" t="str">
        <x:v>Click Checkboxes Task</x:v>
      </x:c>
      <x:c r="Q268" s="20" t="str">
        <x:v>RootWebArea 'Click Checkboxes Task', focused [17] LabelText '', clickable [18] checkbox '4zO', clickable, checked='false' StaticText '4zO' [20] LabelText '', clickable [21] checkbox 'yM', clickable, checked='false' StaticText 'yM' [23] LabelText '', clickable [24] checkbox 'jFHBlkM', clickable, checked='false' StaticText 'jFHBlkM' [26] LabelText '', clickable [27] checkbox 'M8S', clickable, checked='false' StaticText 'M8S' [30] button 'Submit', clickable</x:v>
      </x:c>
      <x:c r="R268" s="20" t="str">
        <x:v>file:///root/autodl-tmp/miniwob-plusplus/miniwob/html/miniwob/click-checkboxes.html</x:v>
      </x:c>
      <x:c r="S268" s="20" t="str">
        <x:v>Click Checkboxes Task</x:v>
      </x:c>
      <x:c r="T268" s="20" t="str">
        <x:v>RootWebArea 'Click Checkboxes Task', focused [17] LabelText '', clickable [18] checkbox '4zO', clickable, checked='false' StaticText '4zO' [20] LabelText '', clickable [21] checkbox 'yM', clickable, checked='false' StaticText 'yM' [23] LabelText '', clickable [24] checkbox 'jFHBlkM', clickable, checked='false' StaticText 'jFHBlkM' [26] LabelText '', clickable [27] checkbox 'M8S', clickable, checked='false' StaticText 'M8S' [30] button 'Submit', clickable, focused</x:v>
      </x:c>
      <x:c r="U268" s="6" t="str">
        <x:v>0</x:v>
      </x:c>
      <x:c r="V268" s="6" t="str">
        <x:v>0</x:v>
      </x:c>
      <x:c r="W268" s="6" t="str">
        <x:v>0</x:v>
      </x:c>
      <x:c r="X268" s="6" t="str">
        <x:v>1</x:v>
      </x:c>
      <x:c r="Y268" s="6" t="str">
        <x:v>0</x:v>
      </x:c>
      <x:c r="Z268" s="6" t="str">
        <x:v>1</x:v>
      </x:c>
      <x:c r="AA268" s="6" t="str">
        <x:v>0.0</x:v>
      </x:c>
      <x:c r="AB268" s="20" t="str">
        <x:v>Codex证据复核v1：原始记录唯一匹配、环境实测、反事实配对ID完整、终止且非成功、奖励非正、队列标签与结果派生规则一致；非人工签字。</x:v>
      </x:c>
    </x:row>
    <x:row r="269" ht="46" customHeight="1">
      <x:c r="A269" s="6" t="str">
        <x:v>1</x:v>
      </x:c>
      <x:c r="B269" s="6" t="str">
        <x:v>abfb4ceb1b1fa0913226</x:v>
      </x:c>
      <x:c r="C269" s="6" t="str">
        <x:v>evidence_approved</x:v>
      </x:c>
      <x:c r="D269" s="6" t="str">
        <x:v>codex-evidence-review-v1</x:v>
      </x:c>
      <x:c r="E269" s="22" t="n">
        <x:v>46244.40206471065</x:v>
      </x:c>
      <x:c r="F269" s="6" t="str">
        <x:v>20</x:v>
      </x:c>
      <x:c r="G269" s="20" t="str">
        <x:v>observed_counterfactual;severe_failure;terminal</x:v>
      </x:c>
      <x:c r="H269" s="20" t="str">
        <x:v>browsergym/miniwob.click-menu</x:v>
      </x:c>
      <x:c r="I269" s="6" t="str">
        <x:v>browsergym/miniwob.click-menu</x:v>
      </x:c>
      <x:c r="J269" s="6" t="str">
        <x:v>cf-click-menu-seed1009-hard_wrong_target</x:v>
      </x:c>
      <x:c r="K269" s="6" t="str">
        <x:v>0</x:v>
      </x:c>
      <x:c r="L269" s="20" t="str">
        <x:v>Select Enrica</x:v>
      </x:c>
      <x:c r="M269" s="20" t="str">
        <x:v>click("21", "left")</x:v>
      </x:c>
      <x:c r="N269" s="6" t="str">
        <x:v>0.0</x:v>
      </x:c>
      <x:c r="O269" s="20" t="str">
        <x:v>file:///root/autodl-tmp/miniwob-plusplus/miniwob/html/miniwob/click-menu.html</x:v>
      </x:c>
      <x:c r="P269" s="20" t="str">
        <x:v>Click Menu Task</x:v>
      </x:c>
      <x:c r="Q269" s="20" t="str">
        <x:v>RootWebArea 'Click Menu Task', focused [17] menu '', clickable, orientation='vertical' image '' [19] menuitem 'Enrica' image '' [21] menuitem 'Nelle'</x:v>
      </x:c>
      <x:c r="R269" s="20" t="str">
        <x:v>file:///root/autodl-tmp/miniwob-plusplus/miniwob/html/miniwob/click-menu.html</x:v>
      </x:c>
      <x:c r="S269" s="20" t="str">
        <x:v>Click Menu Task</x:v>
      </x:c>
      <x:c r="T269" s="20" t="str">
        <x:v>RootWebArea 'Click Menu Task', focused [17] menu '', clickable, orientation='vertical' image '' [19] menuitem 'Enrica' image '' [21] menuitem 'Nelle'</x:v>
      </x:c>
      <x:c r="U269" s="6" t="str">
        <x:v>0</x:v>
      </x:c>
      <x:c r="V269" s="6" t="str">
        <x:v>0</x:v>
      </x:c>
      <x:c r="W269" s="6" t="str">
        <x:v>0</x:v>
      </x:c>
      <x:c r="X269" s="6" t="str">
        <x:v>1</x:v>
      </x:c>
      <x:c r="Y269" s="6" t="str">
        <x:v>0</x:v>
      </x:c>
      <x:c r="Z269" s="6" t="str">
        <x:v>1</x:v>
      </x:c>
      <x:c r="AA269" s="6" t="str">
        <x:v>0.0</x:v>
      </x:c>
      <x:c r="AB269" s="20" t="str">
        <x:v>Codex证据复核v1：原始记录唯一匹配、环境实测、反事实配对ID完整、终止且非成功、奖励非正、队列标签与结果派生规则一致；非人工签字。</x:v>
      </x:c>
    </x:row>
    <x:row r="270" ht="46" customHeight="1">
      <x:c r="A270" s="6" t="str">
        <x:v>1</x:v>
      </x:c>
      <x:c r="B270" s="6" t="str">
        <x:v>9af845de84a29c60c578</x:v>
      </x:c>
      <x:c r="C270" s="6" t="str">
        <x:v>evidence_approved</x:v>
      </x:c>
      <x:c r="D270" s="6" t="str">
        <x:v>codex-evidence-review-v1</x:v>
      </x:c>
      <x:c r="E270" s="22" t="n">
        <x:v>46244.40206471065</x:v>
      </x:c>
      <x:c r="F270" s="6" t="str">
        <x:v>20</x:v>
      </x:c>
      <x:c r="G270" s="20" t="str">
        <x:v>observed_counterfactual;severe_failure;terminal</x:v>
      </x:c>
      <x:c r="H270" s="20" t="str">
        <x:v>browsergym/miniwob.scroll-text</x:v>
      </x:c>
      <x:c r="I270" s="6" t="str">
        <x:v>browsergym/miniwob.scroll-text</x:v>
      </x:c>
      <x:c r="J270" s="6" t="str">
        <x:v>cf-scroll-text-seed1005-hard_wrong_target</x:v>
      </x:c>
      <x:c r="K270" s="6" t="str">
        <x:v>0</x:v>
      </x:c>
      <x:c r="L270" s="20" t="str">
        <x:v>Find the last word in the text area, enter it into the text field and hit Submit.</x:v>
      </x:c>
      <x:c r="M270" s="20" t="str">
        <x:v>click("15", "left")</x:v>
      </x:c>
      <x:c r="N270" s="6" t="str">
        <x:v>0.0</x:v>
      </x:c>
      <x:c r="O270" s="20" t="str">
        <x:v>file:///root/autodl-tmp/miniwob-plusplus/miniwob/html/miniwob/scroll-text.html</x:v>
      </x:c>
      <x:c r="P270" s="20" t="str">
        <x:v>Scroll Text Task</x:v>
      </x:c>
      <x:c r="Q270" s="20" t="str">
        <x:v>RootWebArea 'Scroll Text Task', focused [13] textbox '' value='Mattis. Facilisis id et et proin. Mattis malesuada purus a. Malesuada. Lorem. Nunc nunc sit pulvinar ut semper odio. Neque morbi turpis tristique ultrices quis. Nulla eget aliquet sed mattis. Donec at fringilla sollicitudin. Faucibus proin et urna. Semper at mattis enim congue massa in fermentum neque cursus morbi dictumst congue montes, dignissim massa amet, rhoncus, eu molestie. Duis risus lorem posuere euismod nunc tellus elementum elementum velit nunc velit lectus at aliquam massa, habitant. Vehicula. Lorem vitae sapien neque, et elit purus fermentum. Rhoncus dict… StaticText 'Mattis. Facilisis id et et proin. Mattis malesuada purus a. Malesuada. Lorem. Nunc nunc sit pulvinar ut semper odio. Neque morbi turpis tristique ultrices quis. Nulla eget aliquet sed mattis. Donec at fringilla sollicitudin. Faucibus proin et urna.…</x:v>
      </x:c>
      <x:c r="R270" s="20" t="str">
        <x:v>file:///root/autodl-tmp/miniwob-plusplus/miniwob/html/miniwob/scroll-text.html</x:v>
      </x:c>
      <x:c r="S270" s="20" t="str">
        <x:v>Scroll Text Task</x:v>
      </x:c>
      <x:c r="T270" s="20" t="str">
        <x:v>RootWebArea 'Scroll Text Task', focused [13] textbox '' value='Mattis. Facilisis id et et proin. Mattis malesuada purus a. Malesuada. Lorem. Nunc nunc sit pulvinar ut semper odio. Neque morbi turpis tristique ultrices quis. Nulla eget aliquet sed mattis. Donec at fringilla sollicitudin. Faucibus proin et urna. Semper at mattis enim congue massa in fermentum neque cursus morbi dictumst congue montes, dignissim massa amet, rhoncus, eu molestie. Duis risus lorem posuere euismod nunc tellus elementum elementum velit nunc velit lectus at aliquam massa, habitant. Vehicula. Lorem vitae sapien neque, et elit purus fermentum. Rhoncus dict… StaticText 'Mattis. Facilisis id et et proin. Mattis malesuada purus a. Malesuada. Lorem. Nunc nunc sit pulvinar ut semper odio. Neque morbi turpis tristique ultrices quis. Nulla eget aliquet sed mattis. Donec at fringilla sollicitudin. Faucibus proin et urna.…</x:v>
      </x:c>
      <x:c r="U270" s="6" t="str">
        <x:v>0</x:v>
      </x:c>
      <x:c r="V270" s="6" t="str">
        <x:v>0</x:v>
      </x:c>
      <x:c r="W270" s="6" t="str">
        <x:v>0</x:v>
      </x:c>
      <x:c r="X270" s="6" t="str">
        <x:v>1</x:v>
      </x:c>
      <x:c r="Y270" s="6" t="str">
        <x:v>0</x:v>
      </x:c>
      <x:c r="Z270" s="6" t="str">
        <x:v>1</x:v>
      </x:c>
      <x:c r="AA270" s="6" t="str">
        <x:v>0.0</x:v>
      </x:c>
      <x:c r="AB270" s="20" t="str">
        <x:v>Codex证据复核v1：原始记录唯一匹配、环境实测、反事实配对ID完整、终止且非成功、奖励非正、队列标签与结果派生规则一致；非人工签字。</x:v>
      </x:c>
    </x:row>
    <x:row r="271" ht="46" customHeight="1">
      <x:c r="A271" s="6" t="str">
        <x:v>1</x:v>
      </x:c>
      <x:c r="B271" s="6" t="str">
        <x:v>4c8a0bb11742a708d722</x:v>
      </x:c>
      <x:c r="C271" s="6" t="str">
        <x:v>evidence_approved</x:v>
      </x:c>
      <x:c r="D271" s="6" t="str">
        <x:v>codex-evidence-review-v1</x:v>
      </x:c>
      <x:c r="E271" s="22" t="n">
        <x:v>46244.40206471065</x:v>
      </x:c>
      <x:c r="F271" s="6" t="str">
        <x:v>20</x:v>
      </x:c>
      <x:c r="G271" s="20" t="str">
        <x:v>observed_counterfactual;severe_failure;terminal</x:v>
      </x:c>
      <x:c r="H271" s="20" t="str">
        <x:v>browsergym/miniwob.click-menu</x:v>
      </x:c>
      <x:c r="I271" s="6" t="str">
        <x:v>browsergym/miniwob.click-menu</x:v>
      </x:c>
      <x:c r="J271" s="6" t="str">
        <x:v>cf-click-menu-seed1025-hard_wrong_target</x:v>
      </x:c>
      <x:c r="K271" s="6" t="str">
        <x:v>0</x:v>
      </x:c>
      <x:c r="L271" s="20" t="str">
        <x:v>Select Joana&gt;Brandea&gt;Berte</x:v>
      </x:c>
      <x:c r="M271" s="20" t="str">
        <x:v>click("19", "left")</x:v>
      </x:c>
      <x:c r="N271" s="6" t="str">
        <x:v>0.0</x:v>
      </x:c>
      <x:c r="O271" s="20" t="str">
        <x:v>file:///root/autodl-tmp/miniwob-plusplus/miniwob/html/miniwob/click-menu.html</x:v>
      </x:c>
      <x:c r="P271" s="20" t="str">
        <x:v>Click Menu Task</x:v>
      </x:c>
      <x:c r="Q271" s="20" t="str">
        <x:v>RootWebArea 'Click Menu Task', focused [17] menu '', clickable, orientation='vertical' image '' [19] menuitem 'Kelly', hasPopup='menu' image '' [31] menuitem 'Joana', hasPopup='menu'</x:v>
      </x:c>
      <x:c r="R271" s="20" t="str">
        <x:v>file:///root/autodl-tmp/miniwob-plusplus/miniwob/html/miniwob/click-menu.html</x:v>
      </x:c>
      <x:c r="S271" s="20" t="str">
        <x:v>Click Menu Task</x:v>
      </x:c>
      <x:c r="T271" s="20" t="str">
        <x:v>RootWebArea 'Click Menu Task', focused [17] menu '', clickable, orientation='vertical' image '' [19] menuitem 'Kelly', hasPopup='menu' [21] menu '', orientation='vertical' image '' [23] menuitem 'Bill' image '' [25] menuitem 'Esmaria' image '' [27] menuitem 'Fiann' image '' [29] menuitem 'Lavinie' image '' [31] menuitem 'Joana', hasPopup='menu'</x:v>
      </x:c>
      <x:c r="U271" s="6" t="str">
        <x:v>0</x:v>
      </x:c>
      <x:c r="V271" s="6" t="str">
        <x:v>0</x:v>
      </x:c>
      <x:c r="W271" s="6" t="str">
        <x:v>0</x:v>
      </x:c>
      <x:c r="X271" s="6" t="str">
        <x:v>1</x:v>
      </x:c>
      <x:c r="Y271" s="6" t="str">
        <x:v>0</x:v>
      </x:c>
      <x:c r="Z271" s="6" t="str">
        <x:v>1</x:v>
      </x:c>
      <x:c r="AA271" s="6" t="str">
        <x:v>0.0</x:v>
      </x:c>
      <x:c r="AB271" s="20" t="str">
        <x:v>Codex证据复核v1：原始记录唯一匹配、环境实测、反事实配对ID完整、终止且非成功、奖励非正、队列标签与结果派生规则一致；非人工签字。</x:v>
      </x:c>
    </x:row>
    <x:row r="272" ht="46" customHeight="1">
      <x:c r="A272" s="6" t="str">
        <x:v>1</x:v>
      </x:c>
      <x:c r="B272" s="6" t="str">
        <x:v>93020e9fc6a8a01c5dd9</x:v>
      </x:c>
      <x:c r="C272" s="6" t="str">
        <x:v>evidence_approved</x:v>
      </x:c>
      <x:c r="D272" s="6" t="str">
        <x:v>codex-evidence-review-v1</x:v>
      </x:c>
      <x:c r="E272" s="22" t="n">
        <x:v>46244.40206471065</x:v>
      </x:c>
      <x:c r="F272" s="6" t="str">
        <x:v>20</x:v>
      </x:c>
      <x:c r="G272" s="20" t="str">
        <x:v>observed_counterfactual;severe_failure;terminal</x:v>
      </x:c>
      <x:c r="H272" s="20" t="str">
        <x:v>browsergym/miniwob.scroll-text</x:v>
      </x:c>
      <x:c r="I272" s="6" t="str">
        <x:v>browsergym/miniwob.scroll-text</x:v>
      </x:c>
      <x:c r="J272" s="6" t="str">
        <x:v>cf-scroll-text-seed1012-hard_wrong_target</x:v>
      </x:c>
      <x:c r="K272" s="6" t="str">
        <x:v>0</x:v>
      </x:c>
      <x:c r="L272" s="20" t="str">
        <x:v>Find the last word in the text area, enter it into the text field and hit Submit.</x:v>
      </x:c>
      <x:c r="M272" s="20" t="str">
        <x:v>click("15", "left")</x:v>
      </x:c>
      <x:c r="N272" s="6" t="str">
        <x:v>0.0</x:v>
      </x:c>
      <x:c r="O272" s="20" t="str">
        <x:v>file:///root/autodl-tmp/miniwob-plusplus/miniwob/html/miniwob/scroll-text.html</x:v>
      </x:c>
      <x:c r="P272" s="20" t="str">
        <x:v>Scroll Text Task</x:v>
      </x:c>
      <x:c r="Q272" s="20" t="str">
        <x:v>RootWebArea 'Scroll Text Task', focused [13] textbox '' value='Diam.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StaticText 'Diam.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[14] textbox '', clickable [15] button 'Submit', clickable</x:v>
      </x:c>
      <x:c r="R272" s="20" t="str">
        <x:v>file:///root/autodl-tmp/miniwob-plusplus/miniwob/html/miniwob/scroll-text.html</x:v>
      </x:c>
      <x:c r="S272" s="20" t="str">
        <x:v>Scroll Text Task</x:v>
      </x:c>
      <x:c r="T272" s="20" t="str">
        <x:v>RootWebArea 'Scroll Text Task', focused [13] textbox '' value='Diam.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StaticText 'Diam. Viverra suspendisse. Dignissim dui sit neque, tincidunt. Sit tempus sed ornare purus turpis a,. Vitae odio. Habitasse. Diam tempus ullamcorper tortor orci vitae ultricies tempor feugiat. Aenean nunc mi sodales sed ut ullamcorper. Maecenas dolor ipsum. Molestie. Porttitor blandit volutpat enim.' [14] textbox '', clickable [15] button 'Submit', clickable, focused</x:v>
      </x:c>
      <x:c r="U272" s="6" t="str">
        <x:v>0</x:v>
      </x:c>
      <x:c r="V272" s="6" t="str">
        <x:v>0</x:v>
      </x:c>
      <x:c r="W272" s="6" t="str">
        <x:v>0</x:v>
      </x:c>
      <x:c r="X272" s="6" t="str">
        <x:v>1</x:v>
      </x:c>
      <x:c r="Y272" s="6" t="str">
        <x:v>0</x:v>
      </x:c>
      <x:c r="Z272" s="6" t="str">
        <x:v>1</x:v>
      </x:c>
      <x:c r="AA272" s="6" t="str">
        <x:v>0.0</x:v>
      </x:c>
      <x:c r="AB272" s="20" t="str">
        <x:v>Codex证据复核v1：原始记录唯一匹配、环境实测、反事实配对ID完整、终止且非成功、奖励非正、队列标签与结果派生规则一致；非人工签字。</x:v>
      </x:c>
    </x:row>
    <x:row r="273" ht="46" customHeight="1">
      <x:c r="A273" s="6" t="str">
        <x:v>1</x:v>
      </x:c>
      <x:c r="B273" s="6" t="str">
        <x:v>d6d664ce5bf7118e3c78</x:v>
      </x:c>
      <x:c r="C273" s="6" t="str">
        <x:v>evidence_approved</x:v>
      </x:c>
      <x:c r="D273" s="6" t="str">
        <x:v>codex-evidence-review-v1</x:v>
      </x:c>
      <x:c r="E273" s="22" t="n">
        <x:v>46244.40206471065</x:v>
      </x:c>
      <x:c r="F273" s="6" t="str">
        <x:v>20</x:v>
      </x:c>
      <x:c r="G273" s="20" t="str">
        <x:v>observed_counterfactual;severe_failure;terminal</x:v>
      </x:c>
      <x:c r="H273" s="20" t="str">
        <x:v>browsergym/miniwob.enter-text-2</x:v>
      </x:c>
      <x:c r="I273" s="6" t="str">
        <x:v>browsergym/miniwob.enter-text-2</x:v>
      </x:c>
      <x:c r="J273" s="6" t="str">
        <x:v>cf-enter-text-2-seed1023-hard_wrong_target</x:v>
      </x:c>
      <x:c r="K273" s="6" t="str">
        <x:v>0</x:v>
      </x:c>
      <x:c r="L273" s="20" t="str">
        <x:v>Type "bernardine" in all upper case letters in the text input and press Submit.</x:v>
      </x:c>
      <x:c r="M273" s="20" t="str">
        <x:v>click("15", "left")</x:v>
      </x:c>
      <x:c r="N273" s="6" t="str">
        <x:v>0.0</x:v>
      </x:c>
      <x:c r="O273" s="20" t="str">
        <x:v>file:///root/autodl-tmp/miniwob-plusplus/miniwob/html/miniwob/enter-text-2.html</x:v>
      </x:c>
      <x:c r="P273" s="20" t="str">
        <x:v>Enter Text Task</x:v>
      </x:c>
      <x:c r="Q273" s="20" t="str">
        <x:v>RootWebArea 'Enter Text Task', focused [14] textbox '', clickable [15] button 'Submit', clickable</x:v>
      </x:c>
      <x:c r="R273" s="20" t="str">
        <x:v>file:///root/autodl-tmp/miniwob-plusplus/miniwob/html/miniwob/enter-text-2.html</x:v>
      </x:c>
      <x:c r="S273" s="20" t="str">
        <x:v>Enter Text Task</x:v>
      </x:c>
      <x:c r="T273" s="20" t="str">
        <x:v>RootWebArea 'Enter Text Task', focused [14] textbox '', clickable [15] button 'Submit', clickable, focused</x:v>
      </x:c>
      <x:c r="U273" s="6" t="str">
        <x:v>0</x:v>
      </x:c>
      <x:c r="V273" s="6" t="str">
        <x:v>0</x:v>
      </x:c>
      <x:c r="W273" s="6" t="str">
        <x:v>0</x:v>
      </x:c>
      <x:c r="X273" s="6" t="str">
        <x:v>1</x:v>
      </x:c>
      <x:c r="Y273" s="6" t="str">
        <x:v>0</x:v>
      </x:c>
      <x:c r="Z273" s="6" t="str">
        <x:v>1</x:v>
      </x:c>
      <x:c r="AA273" s="6" t="str">
        <x:v>0.0</x:v>
      </x:c>
      <x:c r="AB273" s="20" t="str">
        <x:v>Codex证据复核v1：原始记录唯一匹配、环境实测、反事实配对ID完整、终止且非成功、奖励非正、队列标签与结果派生规则一致；非人工签字。</x:v>
      </x:c>
    </x:row>
    <x:row r="274" ht="46" customHeight="1">
      <x:c r="A274" s="6" t="str">
        <x:v>1</x:v>
      </x:c>
      <x:c r="B274" s="6" t="str">
        <x:v>a85b8c4964582118f23e</x:v>
      </x:c>
      <x:c r="C274" s="6" t="str">
        <x:v>evidence_approved</x:v>
      </x:c>
      <x:c r="D274" s="6" t="str">
        <x:v>codex-evidence-review-v1</x:v>
      </x:c>
      <x:c r="E274" s="22" t="n">
        <x:v>46244.40206471065</x:v>
      </x:c>
      <x:c r="F274" s="6" t="str">
        <x:v>20</x:v>
      </x:c>
      <x:c r="G274" s="20" t="str">
        <x:v>observed_counterfactual;severe_failure;terminal</x:v>
      </x:c>
      <x:c r="H274" s="20" t="str">
        <x:v>browsergym/miniwob.click-menu</x:v>
      </x:c>
      <x:c r="I274" s="6" t="str">
        <x:v>browsergym/miniwob.click-menu</x:v>
      </x:c>
      <x:c r="J274" s="6" t="str">
        <x:v>cf-click-menu-seed1025-wrong_action_type</x:v>
      </x:c>
      <x:c r="K274" s="6" t="str">
        <x:v>0</x:v>
      </x:c>
      <x:c r="L274" s="20" t="str">
        <x:v>Select Joana&gt;Brandea&gt;Berte</x:v>
      </x:c>
      <x:c r="M274" s="20" t="str">
        <x:v>click("31", "left")</x:v>
      </x:c>
      <x:c r="N274" s="6" t="str">
        <x:v>0.0</x:v>
      </x:c>
      <x:c r="O274" s="20" t="str">
        <x:v>file:///root/autodl-tmp/miniwob-plusplus/miniwob/html/miniwob/click-menu.html</x:v>
      </x:c>
      <x:c r="P274" s="20" t="str">
        <x:v>Click Menu Task</x:v>
      </x:c>
      <x:c r="Q274" s="20" t="str">
        <x:v>RootWebArea 'Click Menu Task', focused [17] menu '', clickable, orientation='vertical' image '' [19] menuitem 'Kelly', hasPopup='menu' image '' [31] menuitem 'Joana', hasPopup='menu'</x:v>
      </x:c>
      <x:c r="R274" s="20" t="str">
        <x:v>file:///root/autodl-tmp/miniwob-plusplus/miniwob/html/miniwob/click-menu.html</x:v>
      </x:c>
      <x:c r="S274" s="20" t="str">
        <x:v>Click Menu Task</x:v>
      </x:c>
      <x:c r="T274" s="20" t="str">
        <x:v>RootWebArea 'Click Menu Task', focused [17] menu '', clickable, orientation='vertical' image '' [19] menuitem 'Kelly', hasPopup='menu' image '' [31] menuitem 'Joana', hasPopup='menu' [33] menu '', orientation='vertical' image '' [35] menuitem 'Prudence', hasPopup='menu' image '' [47] menuitem 'Brandea', hasPopup='menu' image '' [59] menuitem 'Vitia'</x:v>
      </x:c>
      <x:c r="U274" s="6" t="str">
        <x:v>0</x:v>
      </x:c>
      <x:c r="V274" s="6" t="str">
        <x:v>0</x:v>
      </x:c>
      <x:c r="W274" s="6" t="str">
        <x:v>0</x:v>
      </x:c>
      <x:c r="X274" s="6" t="str">
        <x:v>1</x:v>
      </x:c>
      <x:c r="Y274" s="6" t="str">
        <x:v>0</x:v>
      </x:c>
      <x:c r="Z274" s="6" t="str">
        <x:v>1</x:v>
      </x:c>
      <x:c r="AA274" s="6" t="str">
        <x:v>0.0</x:v>
      </x:c>
      <x:c r="AB274" s="20" t="str">
        <x:v>Codex证据复核v1：原始记录唯一匹配、环境实测、反事实配对ID完整、终止且非成功、奖励非正、队列标签与结果派生规则一致；非人工签字。</x:v>
      </x:c>
    </x:row>
    <x:row r="275" ht="46" customHeight="1">
      <x:c r="A275" s="6" t="str">
        <x:v>1</x:v>
      </x:c>
      <x:c r="B275" s="6" t="str">
        <x:v>3615518858b91d96bdaa</x:v>
      </x:c>
      <x:c r="C275" s="6" t="str">
        <x:v>evidence_approved</x:v>
      </x:c>
      <x:c r="D275" s="6" t="str">
        <x:v>codex-evidence-review-v1</x:v>
      </x:c>
      <x:c r="E275" s="22" t="n">
        <x:v>46244.40206471065</x:v>
      </x:c>
      <x:c r="F275" s="6" t="str">
        <x:v>20</x:v>
      </x:c>
      <x:c r="G275" s="20" t="str">
        <x:v>observed_counterfactual;severe_failure;terminal</x:v>
      </x:c>
      <x:c r="H275" s="20" t="str">
        <x:v>browsergym/miniwob.click-checkboxes-soft</x:v>
      </x:c>
      <x:c r="I275" s="6" t="str">
        <x:v>browsergym/miniwob.click-checkboxes-soft</x:v>
      </x:c>
      <x:c r="J275" s="6" t="str">
        <x:v>cf-click-checkboxes-soft-seed1007-wrong_action_type</x:v>
      </x:c>
      <x:c r="K275" s="6" t="str">
        <x:v>0</x:v>
      </x:c>
      <x:c r="L275" s="20" t="str">
        <x:v>Select words similar to murder, peaceful, swine, sorrowful, strange and click Submit.</x:v>
      </x:c>
      <x:c r="M275" s="20" t="str">
        <x:v>click("36", "left")</x:v>
      </x:c>
      <x:c r="N275" s="6" t="str">
        <x:v>0.0</x:v>
      </x:c>
      <x:c r="O275" s="20" t="str">
        <x:v>file:///root/autodl-tmp/miniwob-plusplus/miniwob/html/miniwob/click-checkboxes-soft.html</x:v>
      </x:c>
      <x:c r="P275" s="20" t="str">
        <x:v>Click Checkboxes Task</x:v>
      </x:c>
      <x:c r="Q275" s="20" t="str">
        <x:v>RootWebArea 'Click Checkboxes Task', focused [17] LabelText '', clickable [18] checkbox 'chop', clickable, checked='false' StaticText 'chop' [20] LabelText '', clickable [21] checkbox 'quiet', clickable, checked='false' StaticText 'quiet' [23] LabelText '', clickable [24] checkbox 'kill', clickable, checked='false' StaticText 'kill' [26] LabelText '', clickable [27] checkbox 'odd', clickable, checked='false' StaticText 'odd' [29] LabelText '', clickable [30] checkbox 'pig', clickable, checked='false' StaticText 'pig' [32] LabelText '', clickable [33] checkbox 'tragic', clickable, checked='false' StaticText 'tragic' [36] button 'Submit', clickable</x:v>
      </x:c>
      <x:c r="R275" s="20" t="str">
        <x:v>file:///root/autodl-tmp/miniwob-plusplus/miniwob/html/miniwob/click-checkboxes-soft.html</x:v>
      </x:c>
      <x:c r="S275" s="20" t="str">
        <x:v>Click Checkboxes Task</x:v>
      </x:c>
      <x:c r="T275" s="20" t="str">
        <x:v>RootWebArea 'Click Checkboxes Task', focused [17] LabelText '', clickable [18] checkbox 'chop', clickable, checked='false' StaticText 'chop' [20] LabelText '', clickable [21] checkbox 'quiet', clickable, checked='false' StaticText 'quiet' [23] LabelText '', clickable [24] checkbox 'kill', clickable, checked='false' StaticText 'kill' [26] LabelText '', clickable [27] checkbox 'odd', clickable, checked='false' StaticText 'odd' [29] LabelText '', clickable [30] checkbox 'pig', clickable, checked='false' StaticText 'pig' [32] LabelText '', clickable [33] checkbox 'tragic', clickable, checked='false' StaticText 'tragic' [36] button 'Submit', clickable, focused</x:v>
      </x:c>
      <x:c r="U275" s="6" t="str">
        <x:v>0</x:v>
      </x:c>
      <x:c r="V275" s="6" t="str">
        <x:v>0</x:v>
      </x:c>
      <x:c r="W275" s="6" t="str">
        <x:v>0</x:v>
      </x:c>
      <x:c r="X275" s="6" t="str">
        <x:v>1</x:v>
      </x:c>
      <x:c r="Y275" s="6" t="str">
        <x:v>0</x:v>
      </x:c>
      <x:c r="Z275" s="6" t="str">
        <x:v>1</x:v>
      </x:c>
      <x:c r="AA275" s="6" t="str">
        <x:v>0.0</x:v>
      </x:c>
      <x:c r="AB275" s="20" t="str">
        <x:v>Codex证据复核v1：原始记录唯一匹配、环境实测、反事实配对ID完整、终止且非成功、奖励非正、队列标签与结果派生规则一致；非人工签字。</x:v>
      </x:c>
    </x:row>
    <x:row r="276" ht="46" customHeight="1">
      <x:c r="A276" s="6" t="str">
        <x:v>1</x:v>
      </x:c>
      <x:c r="B276" s="6" t="str">
        <x:v>ff87c0523cfeed9dc7a7</x:v>
      </x:c>
      <x:c r="C276" s="6" t="str">
        <x:v>evidence_approved</x:v>
      </x:c>
      <x:c r="D276" s="6" t="str">
        <x:v>codex-evidence-review-v1</x:v>
      </x:c>
      <x:c r="E276" s="22" t="n">
        <x:v>46244.40206471065</x:v>
      </x:c>
      <x:c r="F276" s="6" t="str">
        <x:v>20</x:v>
      </x:c>
      <x:c r="G276" s="20" t="str">
        <x:v>observed_counterfactual;severe_failure;terminal</x:v>
      </x:c>
      <x:c r="H276" s="20" t="str">
        <x:v>browsergym/miniwob.click-widget</x:v>
      </x:c>
      <x:c r="I276" s="6" t="str">
        <x:v>browsergym/miniwob.click-widget</x:v>
      </x:c>
      <x:c r="J276" s="6" t="str">
        <x:v>cf-click-widget-seed1000-hard_wrong_target</x:v>
      </x:c>
      <x:c r="K276" s="6" t="str">
        <x:v>0</x:v>
      </x:c>
      <x:c r="L276" s="20" t="str">
        <x:v>Click on a "radio" widget.</x:v>
      </x:c>
      <x:c r="M276" s="20" t="str">
        <x:v>click("23", "left")</x:v>
      </x:c>
      <x:c r="N276" s="6" t="str">
        <x:v>0.0</x:v>
      </x:c>
      <x:c r="O276" s="20" t="str">
        <x:v>file:///root/autodl-tmp/miniwob-plusplus/miniwob/html/miniwob/click-widget.html</x:v>
      </x:c>
      <x:c r="P276" s="20" t="str">
        <x:v>Click Widget Task</x:v>
      </x:c>
      <x:c r="Q276" s="20" t="str">
        <x:v>RootWebArea 'Click Widget Task', focused [14] LabelText '', clickable [15] radio 'JE', clickable, checked='false' StaticText 'JE' [17] button 'Qd1' [19] LabelText '', clickable [20] checkbox 'Na1', clickable, checked='false' StaticText 'Na1' [22] LabelText '', clickable [23] checkbox 'Yb', clickable, checked='false' StaticText 'Yb' [25] textbox '' value='AyEH', clickable StaticText 'AyEH'</x:v>
      </x:c>
      <x:c r="R276" s="20" t="str">
        <x:v>file:///root/autodl-tmp/miniwob-plusplus/miniwob/html/miniwob/click-widget.html</x:v>
      </x:c>
      <x:c r="S276" s="20" t="str">
        <x:v>Click Widget Task</x:v>
      </x:c>
      <x:c r="T276" s="20" t="str">
        <x:v>RootWebArea 'Click Widget Task', focused [14] LabelText '', clickable [15] radio 'JE', clickable, checked='false' StaticText 'JE' [17] button 'Qd1' [19] LabelText '', clickable [20] checkbox 'Na1', clickable, checked='false' StaticText 'Na1' [22] LabelText '', clickable [23] checkbox 'Yb', clickable, focused, checked='true' StaticText 'Yb' [25] textbox '' value='AyEH', clickable StaticText 'AyEH'</x:v>
      </x:c>
      <x:c r="U276" s="6" t="str">
        <x:v>0</x:v>
      </x:c>
      <x:c r="V276" s="6" t="str">
        <x:v>0</x:v>
      </x:c>
      <x:c r="W276" s="6" t="str">
        <x:v>0</x:v>
      </x:c>
      <x:c r="X276" s="6" t="str">
        <x:v>1</x:v>
      </x:c>
      <x:c r="Y276" s="6" t="str">
        <x:v>0</x:v>
      </x:c>
      <x:c r="Z276" s="6" t="str">
        <x:v>1</x:v>
      </x:c>
      <x:c r="AA276" s="6" t="str">
        <x:v>0.0</x:v>
      </x:c>
      <x:c r="AB276" s="20" t="str">
        <x:v>Codex证据复核v1：原始记录唯一匹配、环境实测、反事实配对ID完整、终止且非成功、奖励非正、队列标签与结果派生规则一致；非人工签字。</x:v>
      </x:c>
    </x:row>
    <x:row r="277" ht="46" customHeight="1">
      <x:c r="A277" s="6" t="str">
        <x:v>1</x:v>
      </x:c>
      <x:c r="B277" s="6" t="str">
        <x:v>e773f4feadff2ff8b9dc</x:v>
      </x:c>
      <x:c r="C277" s="6" t="str">
        <x:v>evidence_approved</x:v>
      </x:c>
      <x:c r="D277" s="6" t="str">
        <x:v>codex-evidence-review-v1</x:v>
      </x:c>
      <x:c r="E277" s="22" t="n">
        <x:v>46244.40206471065</x:v>
      </x:c>
      <x:c r="F277" s="6" t="str">
        <x:v>20</x:v>
      </x:c>
      <x:c r="G277" s="20" t="str">
        <x:v>observed_counterfactual;severe_failure;terminal</x:v>
      </x:c>
      <x:c r="H277" s="20" t="str">
        <x:v>browsergym/miniwob.scroll-text-2</x:v>
      </x:c>
      <x:c r="I277" s="6" t="str">
        <x:v>browsergym/miniwob.scroll-text-2</x:v>
      </x:c>
      <x:c r="J277" s="6" t="str">
        <x:v>cf-scroll-text-2-seed1011-hard_wrong_target</x:v>
      </x:c>
      <x:c r="K277" s="6" t="str">
        <x:v>0</x:v>
      </x:c>
      <x:c r="L277" s="20" t="str">
        <x:v>Scroll the textarea to the bottom of the text hit submit.</x:v>
      </x:c>
      <x:c r="M277" s="20" t="str">
        <x:v>click("14", "left")</x:v>
      </x:c>
      <x:c r="N277" s="6" t="str">
        <x:v>0.0</x:v>
      </x:c>
      <x:c r="O277" s="20" t="str">
        <x:v>file:///root/autodl-tmp/miniwob-plusplus/miniwob/html/miniwob/scroll-text-2.html</x:v>
      </x:c>
      <x:c r="P277" s="20" t="str">
        <x:v>Scroll Text Task</x:v>
      </x:c>
      <x:c r="Q277" s="20" t="str">
        <x:v>RootWebArea 'Scroll Text Task', focused [13] textbox '' value='Leo odio pharetra etiam tortor nisl diam tincidunt libero purus ultrices vel. Magnis tellus risus, magna eu nulla mauris purus. Purus sit. Donec id eget nunc, aliquet arcu tincidunt netus eu, sapien et purus libero. Ornare tristique amet feugiat nisl. Ultricies at auctor consectetur. Posuere ut. Leo, eget. Felis lorem nec sit nunc a adipiscing pellentesque mattis diam urna arcu sapien sit.' StaticText 'Leo odio pharetra etiam tortor nisl diam tincidunt libero purus ultrices vel. Magnis tellus risus, magna eu nulla mauris purus. Purus sit. Donec id eget nunc, aliquet arcu tincidunt netus eu, sapien et purus libero. Ornare tristique amet feugiat nisl. Ultricies at auctor consectetur. Posuere ut. Leo, eget. Felis lorem nec sit nunc a adipiscing pellentesque mattis diam urna arcu sapien sit.' [14] button 'Submit', clickable</x:v>
      </x:c>
      <x:c r="R277" s="20" t="str">
        <x:v>file:///root/autodl-tmp/miniwob-plusplus/miniwob/html/miniwob/scroll-text-2.html</x:v>
      </x:c>
      <x:c r="S277" s="20" t="str">
        <x:v>Scroll Text Task</x:v>
      </x:c>
      <x:c r="T277" s="20" t="str">
        <x:v>RootWebArea 'Scroll Text Task', focused [13] textbox '' value='Leo odio pharetra etiam tortor nisl diam tincidunt libero purus ultrices vel. Magnis tellus risus, magna eu nulla mauris purus. Purus sit. Donec id eget nunc, aliquet arcu tincidunt netus eu, sapien et purus libero. Ornare tristique amet feugiat nisl. Ultricies at auctor consectetur. Posuere ut. Leo, eget. Felis lorem nec sit nunc a adipiscing pellentesque mattis diam urna arcu sapien sit.' StaticText 'Leo odio pharetra etiam tortor nisl diam tincidunt libero purus ultrices vel. Magnis tellus risus, magna eu nulla mauris purus. Purus sit. Donec id eget nunc, aliquet arcu tincidunt netus eu, sapien et purus libero. Ornare tristique amet feugiat nisl. Ultricies at auctor consectetur. Posuere ut. Leo, eget. Felis lorem nec sit nunc a adipiscing pellentesque mattis diam urna arcu sapien sit.' [14] button 'Submit', clickable, foc…</x:v>
      </x:c>
      <x:c r="U277" s="6" t="str">
        <x:v>0</x:v>
      </x:c>
      <x:c r="V277" s="6" t="str">
        <x:v>0</x:v>
      </x:c>
      <x:c r="W277" s="6" t="str">
        <x:v>0</x:v>
      </x:c>
      <x:c r="X277" s="6" t="str">
        <x:v>1</x:v>
      </x:c>
      <x:c r="Y277" s="6" t="str">
        <x:v>0</x:v>
      </x:c>
      <x:c r="Z277" s="6" t="str">
        <x:v>1</x:v>
      </x:c>
      <x:c r="AA277" s="6" t="str">
        <x:v>0.0</x:v>
      </x:c>
      <x:c r="AB277" s="20" t="str">
        <x:v>Codex证据复核v1：原始记录唯一匹配、环境实测、反事实配对ID完整、终止且非成功、奖励非正、队列标签与结果派生规则一致；非人工签字。</x:v>
      </x:c>
    </x:row>
    <x:row r="278" ht="46" customHeight="1">
      <x:c r="A278" s="6" t="str">
        <x:v>1</x:v>
      </x:c>
      <x:c r="B278" s="6" t="str">
        <x:v>8798d834ae2e89289fc8</x:v>
      </x:c>
      <x:c r="C278" s="6" t="str">
        <x:v>evidence_approved</x:v>
      </x:c>
      <x:c r="D278" s="6" t="str">
        <x:v>codex-evidence-review-v1</x:v>
      </x:c>
      <x:c r="E278" s="22" t="n">
        <x:v>46244.40206471065</x:v>
      </x:c>
      <x:c r="F278" s="6" t="str">
        <x:v>20</x:v>
      </x:c>
      <x:c r="G278" s="20" t="str">
        <x:v>observed_counterfactual;severe_failure;terminal</x:v>
      </x:c>
      <x:c r="H278" s="20" t="str">
        <x:v>browsergym/miniwob.enter-text-2</x:v>
      </x:c>
      <x:c r="I278" s="6" t="str">
        <x:v>browsergym/miniwob.enter-text-2</x:v>
      </x:c>
      <x:c r="J278" s="6" t="str">
        <x:v>cf-enter-text-2-seed1039-hard_wrong_target</x:v>
      </x:c>
      <x:c r="K278" s="6" t="str">
        <x:v>0</x:v>
      </x:c>
      <x:c r="L278" s="20" t="str">
        <x:v>Type "MARCELLA" in all lower case letters in the text input and press Submit.</x:v>
      </x:c>
      <x:c r="M278" s="20" t="str">
        <x:v>click("15", "left")</x:v>
      </x:c>
      <x:c r="N278" s="6" t="str">
        <x:v>0.0</x:v>
      </x:c>
      <x:c r="O278" s="20" t="str">
        <x:v>file:///root/autodl-tmp/miniwob-plusplus/miniwob/html/miniwob/enter-text-2.html</x:v>
      </x:c>
      <x:c r="P278" s="20" t="str">
        <x:v>Enter Text Task</x:v>
      </x:c>
      <x:c r="Q278" s="20" t="str">
        <x:v>RootWebArea 'Enter Text Task', focused [14] textbox '', clickable [15] button 'Submit', clickable</x:v>
      </x:c>
      <x:c r="R278" s="20" t="str">
        <x:v>file:///root/autodl-tmp/miniwob-plusplus/miniwob/html/miniwob/enter-text-2.html</x:v>
      </x:c>
      <x:c r="S278" s="20" t="str">
        <x:v>Enter Text Task</x:v>
      </x:c>
      <x:c r="T278" s="20" t="str">
        <x:v>RootWebArea 'Enter Text Task', focused [14] textbox '', clickable [15] button 'Submit', clickable, focused</x:v>
      </x:c>
      <x:c r="U278" s="6" t="str">
        <x:v>0</x:v>
      </x:c>
      <x:c r="V278" s="6" t="str">
        <x:v>0</x:v>
      </x:c>
      <x:c r="W278" s="6" t="str">
        <x:v>0</x:v>
      </x:c>
      <x:c r="X278" s="6" t="str">
        <x:v>1</x:v>
      </x:c>
      <x:c r="Y278" s="6" t="str">
        <x:v>0</x:v>
      </x:c>
      <x:c r="Z278" s="6" t="str">
        <x:v>1</x:v>
      </x:c>
      <x:c r="AA278" s="6" t="str">
        <x:v>0.0</x:v>
      </x:c>
      <x:c r="AB278" s="20" t="str">
        <x:v>Codex证据复核v1：原始记录唯一匹配、环境实测、反事实配对ID完整、终止且非成功、奖励非正、队列标签与结果派生规则一致；非人工签字。</x:v>
      </x:c>
    </x:row>
    <x:row r="279" ht="46" customHeight="1">
      <x:c r="A279" s="6" t="str">
        <x:v>1</x:v>
      </x:c>
      <x:c r="B279" s="6" t="str">
        <x:v>114877f6b8784c23acc0</x:v>
      </x:c>
      <x:c r="C279" s="6" t="str">
        <x:v>evidence_approved</x:v>
      </x:c>
      <x:c r="D279" s="6" t="str">
        <x:v>codex-evidence-review-v1</x:v>
      </x:c>
      <x:c r="E279" s="22" t="n">
        <x:v>46244.40206471065</x:v>
      </x:c>
      <x:c r="F279" s="6" t="str">
        <x:v>20</x:v>
      </x:c>
      <x:c r="G279" s="20" t="str">
        <x:v>observed_counterfactual;severe_failure;terminal</x:v>
      </x:c>
      <x:c r="H279" s="20" t="str">
        <x:v>browsergym/miniwob.choose-list</x:v>
      </x:c>
      <x:c r="I279" s="6" t="str">
        <x:v>browsergym/miniwob.choose-list</x:v>
      </x:c>
      <x:c r="J279" s="6" t="str">
        <x:v>cf-choose-list-seed1011-missing_target</x:v>
      </x:c>
      <x:c r="K279" s="6" t="str">
        <x:v>0</x:v>
      </x:c>
      <x:c r="L279" s="20" t="str">
        <x:v>Select Nona from the list and click Submit.</x:v>
      </x:c>
      <x:c r="M279" s="20" t="str">
        <x:v>click("19", "left")</x:v>
      </x:c>
      <x:c r="N279" s="6" t="str">
        <x:v>0.0</x:v>
      </x:c>
      <x:c r="O279" s="20" t="str">
        <x:v>file:///root/autodl-tmp/miniwob-plusplus/miniwob/html/miniwob/choose-list.html</x:v>
      </x:c>
      <x:c r="P279" s="20" t="str">
        <x:v>Choose List Task</x:v>
      </x:c>
      <x:c r="Q279" s="20" t="str">
        <x:v>RootWebArea 'Choose List Task', focused [13] combobox '' value='Lucienne', hasPopup='menu', expanded=False [19] button 'Submit', clickable</x:v>
      </x:c>
      <x:c r="R279" s="20" t="str">
        <x:v>file:///root/autodl-tmp/miniwob-plusplus/miniwob/html/miniwob/choose-list.html</x:v>
      </x:c>
      <x:c r="S279" s="20" t="str">
        <x:v>Choose List Task</x:v>
      </x:c>
      <x:c r="T279" s="20" t="str">
        <x:v>RootWebArea 'Choose List Task', focused [13] combobox '' value='Lucienne', hasPopup='menu', expanded=False [19] button 'Submit', clickable, focused</x:v>
      </x:c>
      <x:c r="U279" s="6" t="str">
        <x:v>0</x:v>
      </x:c>
      <x:c r="V279" s="6" t="str">
        <x:v>0</x:v>
      </x:c>
      <x:c r="W279" s="6" t="str">
        <x:v>0</x:v>
      </x:c>
      <x:c r="X279" s="6" t="str">
        <x:v>1</x:v>
      </x:c>
      <x:c r="Y279" s="6" t="str">
        <x:v>0</x:v>
      </x:c>
      <x:c r="Z279" s="6" t="str">
        <x:v>1</x:v>
      </x:c>
      <x:c r="AA279" s="6" t="str">
        <x:v>0.0</x:v>
      </x:c>
      <x:c r="AB279" s="20" t="str">
        <x:v>Codex证据复核v1：原始记录唯一匹配、环境实测、反事实配对ID完整、终止且非成功、奖励非正、队列标签与结果派生规则一致；非人工签字。</x:v>
      </x:c>
    </x:row>
    <x:row r="280" ht="46" customHeight="1">
      <x:c r="A280" s="6" t="str">
        <x:v>1</x:v>
      </x:c>
      <x:c r="B280" s="6" t="str">
        <x:v>aabd51fffdabc0836fab</x:v>
      </x:c>
      <x:c r="C280" s="6" t="str">
        <x:v>evidence_approved</x:v>
      </x:c>
      <x:c r="D280" s="6" t="str">
        <x:v>codex-evidence-review-v1</x:v>
      </x:c>
      <x:c r="E280" s="22" t="n">
        <x:v>46244.40206471065</x:v>
      </x:c>
      <x:c r="F280" s="6" t="str">
        <x:v>20</x:v>
      </x:c>
      <x:c r="G280" s="20" t="str">
        <x:v>observed_counterfactual;severe_failure;terminal</x:v>
      </x:c>
      <x:c r="H280" s="20" t="str">
        <x:v>browsergym/miniwob.click-button</x:v>
      </x:c>
      <x:c r="I280" s="6" t="str">
        <x:v>browsergym/miniwob.click-button</x:v>
      </x:c>
      <x:c r="J280" s="6" t="str">
        <x:v>cf-click-button-seed1026-hard_wrong_target</x:v>
      </x:c>
      <x:c r="K280" s="6" t="str">
        <x:v>0</x:v>
      </x:c>
      <x:c r="L280" s="20" t="str">
        <x:v>Click on the "okay" button.</x:v>
      </x:c>
      <x:c r="M280" s="20" t="str">
        <x:v>click("15", "left")</x:v>
      </x:c>
      <x:c r="N280" s="6" t="str">
        <x:v>0.0</x:v>
      </x:c>
      <x:c r="O280" s="20" t="str">
        <x:v>file:///root/autodl-tmp/miniwob-plusplus/miniwob/html/miniwob/click-button.html</x:v>
      </x:c>
      <x:c r="P280" s="20" t="str">
        <x:v>Click Button Task</x:v>
      </x:c>
      <x:c r="Q280" s="20" t="str">
        <x:v>RootWebArea 'Click Button Task', focused [12] button 'No', clickable [13] textbox '', clickable [15] button 'Okay', clickable StaticText 'magnis imperdiet scelerisque' StaticText 'vel ultrices blandit' [19] button 'okay', clickable</x:v>
      </x:c>
      <x:c r="R280" s="20" t="str">
        <x:v>file:///root/autodl-tmp/miniwob-plusplus/miniwob/html/miniwob/click-button.html</x:v>
      </x:c>
      <x:c r="S280" s="20" t="str">
        <x:v>Click Button Task</x:v>
      </x:c>
      <x:c r="T280" s="20" t="str">
        <x:v>RootWebArea 'Click Button Task', focused [12] button 'No', clickable [13] textbox '', clickable [15] button 'Okay', clickable, focused StaticText 'magnis imperdiet scelerisque' StaticText 'vel ultrices blandit' [19] button 'okay', clickable</x:v>
      </x:c>
      <x:c r="U280" s="6" t="str">
        <x:v>0</x:v>
      </x:c>
      <x:c r="V280" s="6" t="str">
        <x:v>0</x:v>
      </x:c>
      <x:c r="W280" s="6" t="str">
        <x:v>0</x:v>
      </x:c>
      <x:c r="X280" s="6" t="str">
        <x:v>1</x:v>
      </x:c>
      <x:c r="Y280" s="6" t="str">
        <x:v>0</x:v>
      </x:c>
      <x:c r="Z280" s="6" t="str">
        <x:v>1</x:v>
      </x:c>
      <x:c r="AA280" s="6" t="str">
        <x:v>0.0</x:v>
      </x:c>
      <x:c r="AB280" s="20" t="str">
        <x:v>Codex证据复核v1：原始记录唯一匹配、环境实测、反事实配对ID完整、终止且非成功、奖励非正、队列标签与结果派生规则一致；非人工签字。</x:v>
      </x:c>
    </x:row>
    <x:row r="281" ht="46" customHeight="1">
      <x:c r="A281" s="6" t="str">
        <x:v>1</x:v>
      </x:c>
      <x:c r="B281" s="6" t="str">
        <x:v>bbaa934ccfd628310aa0</x:v>
      </x:c>
      <x:c r="C281" s="6" t="str">
        <x:v>evidence_approved</x:v>
      </x:c>
      <x:c r="D281" s="6" t="str">
        <x:v>codex-evidence-review-v1</x:v>
      </x:c>
      <x:c r="E281" s="22" t="n">
        <x:v>46244.40206471065</x:v>
      </x:c>
      <x:c r="F281" s="6" t="str">
        <x:v>20</x:v>
      </x:c>
      <x:c r="G281" s="20" t="str">
        <x:v>observed_counterfactual;severe_failure;terminal</x:v>
      </x:c>
      <x:c r="H281" s="20" t="str">
        <x:v>browsergym/miniwob.click-checkboxes-soft</x:v>
      </x:c>
      <x:c r="I281" s="6" t="str">
        <x:v>browsergym/miniwob.click-checkboxes-soft</x:v>
      </x:c>
      <x:c r="J281" s="6" t="str">
        <x:v>cf-click-checkboxes-soft-seed1007-hard_wrong_target</x:v>
      </x:c>
      <x:c r="K281" s="6" t="str">
        <x:v>0</x:v>
      </x:c>
      <x:c r="L281" s="20" t="str">
        <x:v>Select words similar to murder, peaceful, swine, sorrowful, strange and click Submit.</x:v>
      </x:c>
      <x:c r="M281" s="20" t="str">
        <x:v>click("36", "left")</x:v>
      </x:c>
      <x:c r="N281" s="6" t="str">
        <x:v>0.0</x:v>
      </x:c>
      <x:c r="O281" s="20" t="str">
        <x:v>file:///root/autodl-tmp/miniwob-plusplus/miniwob/html/miniwob/click-checkboxes-soft.html</x:v>
      </x:c>
      <x:c r="P281" s="20" t="str">
        <x:v>Click Checkboxes Task</x:v>
      </x:c>
      <x:c r="Q281" s="20" t="str">
        <x:v>RootWebArea 'Click Checkboxes Task', focused [17] LabelText '', clickable [18] checkbox 'chop', clickable, checked='false' StaticText 'chop' [20] LabelText '', clickable [21] checkbox 'quiet', clickable, checked='false' StaticText 'quiet' [23] LabelText '', clickable [24] checkbox 'kill', clickable, checked='false' StaticText 'kill' [26] LabelText '', clickable [27] checkbox 'odd', clickable, checked='false' StaticText 'odd' [29] LabelText '', clickable [30] checkbox 'pig', clickable, checked='false' StaticText 'pig' [32] LabelText '', clickable [33] checkbox 'tragic', clickable, checked='false' StaticText 'tragic' [36] button 'Submit', clickable</x:v>
      </x:c>
      <x:c r="R281" s="20" t="str">
        <x:v>file:///root/autodl-tmp/miniwob-plusplus/miniwob/html/miniwob/click-checkboxes-soft.html</x:v>
      </x:c>
      <x:c r="S281" s="20" t="str">
        <x:v>Click Checkboxes Task</x:v>
      </x:c>
      <x:c r="T281" s="20" t="str">
        <x:v>RootWebArea 'Click Checkboxes Task', focused [17] LabelText '', clickable [18] checkbox 'chop', clickable, checked='false' StaticText 'chop' [20] LabelText '', clickable [21] checkbox 'quiet', clickable, checked='false' StaticText 'quiet' [23] LabelText '', clickable [24] checkbox 'kill', clickable, checked='false' StaticText 'kill' [26] LabelText '', clickable [27] checkbox 'odd', clickable, checked='false' StaticText 'odd' [29] LabelText '', clickable [30] checkbox 'pig', clickable, checked='false' StaticText 'pig' [32] LabelText '', clickable [33] checkbox 'tragic', clickable, checked='false' StaticText 'tragic' [36] button 'Submit', clickable, focused</x:v>
      </x:c>
      <x:c r="U281" s="6" t="str">
        <x:v>0</x:v>
      </x:c>
      <x:c r="V281" s="6" t="str">
        <x:v>0</x:v>
      </x:c>
      <x:c r="W281" s="6" t="str">
        <x:v>0</x:v>
      </x:c>
      <x:c r="X281" s="6" t="str">
        <x:v>1</x:v>
      </x:c>
      <x:c r="Y281" s="6" t="str">
        <x:v>0</x:v>
      </x:c>
      <x:c r="Z281" s="6" t="str">
        <x:v>1</x:v>
      </x:c>
      <x:c r="AA281" s="6" t="str">
        <x:v>0.0</x:v>
      </x:c>
      <x:c r="AB281" s="20" t="str">
        <x:v>Codex证据复核v1：原始记录唯一匹配、环境实测、反事实配对ID完整、终止且非成功、奖励非正、队列标签与结果派生规则一致；非人工签字。</x:v>
      </x:c>
    </x:row>
    <x:row r="282" ht="46" customHeight="1">
      <x:c r="A282" s="6" t="str">
        <x:v>1</x:v>
      </x:c>
      <x:c r="B282" s="6" t="str">
        <x:v>b85411ecf1f78d1708be</x:v>
      </x:c>
      <x:c r="C282" s="6" t="str">
        <x:v>evidence_approved</x:v>
      </x:c>
      <x:c r="D282" s="6" t="str">
        <x:v>codex-evidence-review-v1</x:v>
      </x:c>
      <x:c r="E282" s="22" t="n">
        <x:v>46244.40206471065</x:v>
      </x:c>
      <x:c r="F282" s="6" t="str">
        <x:v>20</x:v>
      </x:c>
      <x:c r="G282" s="20" t="str">
        <x:v>observed_counterfactual;severe_failure;terminal</x:v>
      </x:c>
      <x:c r="H282" s="20" t="str">
        <x:v>browsergym/miniwob.click-widget</x:v>
      </x:c>
      <x:c r="I282" s="6" t="str">
        <x:v>browsergym/miniwob.click-widget</x:v>
      </x:c>
      <x:c r="J282" s="6" t="str">
        <x:v>cf-click-widget-seed1005-hard_wrong_target</x:v>
      </x:c>
      <x:c r="K282" s="6" t="str">
        <x:v>0</x:v>
      </x:c>
      <x:c r="L282" s="20" t="str">
        <x:v>Click on a "checkbox" widget.</x:v>
      </x:c>
      <x:c r="M282" s="20" t="str">
        <x:v>click("19", "left")</x:v>
      </x:c>
      <x:c r="N282" s="6" t="str">
        <x:v>0.0</x:v>
      </x:c>
      <x:c r="O282" s="20" t="str">
        <x:v>file:///root/autodl-tmp/miniwob-plusplus/miniwob/html/miniwob/click-widget.html</x:v>
      </x:c>
      <x:c r="P282" s="20" t="str">
        <x:v>Click Widget Task</x:v>
      </x:c>
      <x:c r="Q282" s="20" t="str">
        <x:v>RootWebArea 'Click Widget Task', focused [14] textbox '' value='p', clickable StaticText 'p' [16] LabelText '', clickable [17] radio '5mT', clickable, checked='false' StaticText '5mT' [19] button 'Z' [21] textbox '' value='v' StaticText 'v' [23] LabelText '', clickable [24] checkbox 'Tq', clickable, checked='false' StaticText 'Tq'</x:v>
      </x:c>
      <x:c r="R282" s="20" t="str">
        <x:v>file:///root/autodl-tmp/miniwob-plusplus/miniwob/html/miniwob/click-widget.html</x:v>
      </x:c>
      <x:c r="S282" s="20" t="str">
        <x:v>Click Widget Task</x:v>
      </x:c>
      <x:c r="T282" s="20" t="str">
        <x:v>RootWebArea 'Click Widget Task', focused [14] textbox '' value='p', clickable StaticText 'p' [16] LabelText '', clickable [17] radio '5mT', clickable, checked='false' StaticText '5mT' [19] button 'Z', focused [21] textbox '' value='v' StaticText 'v' [23] LabelText '', clickable [24] checkbox 'Tq', clickable, checked='false' StaticText 'Tq'</x:v>
      </x:c>
      <x:c r="U282" s="6" t="str">
        <x:v>0</x:v>
      </x:c>
      <x:c r="V282" s="6" t="str">
        <x:v>0</x:v>
      </x:c>
      <x:c r="W282" s="6" t="str">
        <x:v>0</x:v>
      </x:c>
      <x:c r="X282" s="6" t="str">
        <x:v>1</x:v>
      </x:c>
      <x:c r="Y282" s="6" t="str">
        <x:v>0</x:v>
      </x:c>
      <x:c r="Z282" s="6" t="str">
        <x:v>1</x:v>
      </x:c>
      <x:c r="AA282" s="6" t="str">
        <x:v>0.0</x:v>
      </x:c>
      <x:c r="AB282" s="20" t="str">
        <x:v>Codex证据复核v1：原始记录唯一匹配、环境实测、反事实配对ID完整、终止且非成功、奖励非正、队列标签与结果派生规则一致；非人工签字。</x:v>
      </x:c>
    </x:row>
    <x:row r="283" ht="46" customHeight="1">
      <x:c r="A283" s="6" t="str">
        <x:v>1</x:v>
      </x:c>
      <x:c r="B283" s="6" t="str">
        <x:v>55fddbce78110b88d8ab</x:v>
      </x:c>
      <x:c r="C283" s="6" t="str">
        <x:v>evidence_approved</x:v>
      </x:c>
      <x:c r="D283" s="6" t="str">
        <x:v>codex-evidence-review-v1</x:v>
      </x:c>
      <x:c r="E283" s="22" t="n">
        <x:v>46244.40206471065</x:v>
      </x:c>
      <x:c r="F283" s="6" t="str">
        <x:v>20</x:v>
      </x:c>
      <x:c r="G283" s="20" t="str">
        <x:v>observed_counterfactual;severe_failure;terminal</x:v>
      </x:c>
      <x:c r="H283" s="20" t="str">
        <x:v>browsergym/miniwob.scroll-text</x:v>
      </x:c>
      <x:c r="I283" s="6" t="str">
        <x:v>browsergym/miniwob.scroll-text</x:v>
      </x:c>
      <x:c r="J283" s="6" t="str">
        <x:v>cf-scroll-text-seed1029-hard_wrong_target</x:v>
      </x:c>
      <x:c r="K283" s="6" t="str">
        <x:v>0</x:v>
      </x:c>
      <x:c r="L283" s="20" t="str">
        <x:v>Find the last word in the text area, enter it into the text field and hit Submit.</x:v>
      </x:c>
      <x:c r="M283" s="20" t="str">
        <x:v>click("15", "left")</x:v>
      </x:c>
      <x:c r="N283" s="6" t="str">
        <x:v>0.0</x:v>
      </x:c>
      <x:c r="O283" s="20" t="str">
        <x:v>file:///root/autodl-tmp/miniwob-plusplus/miniwob/html/miniwob/scroll-text.html</x:v>
      </x:c>
      <x:c r="P283" s="20" t="str">
        <x:v>Scroll Text Task</x:v>
      </x:c>
      <x:c r="Q283" s="20" t="str">
        <x:v>RootWebArea 'Scroll Text Task', focused [13] textbox '' value='Lacus dui porttitor fames quam. Aenean. Elit mauris tellus, ultrices in pulvinar. Fringilla urna quis. Suspendisse maecenas arcu a. Mollis tincidunt id orci eu purus dolor non duis nisl congue vitae,. Vitae convallis blandit. Eu a scelerisque viverra diam tincidunt consequat neque diam quam ornare imperdiet et fermentum. Penatibus tortor, quam bibendum mattis duis faucibus sed mauris condimentum pretium. Convallis turpis arcu volutpat. In tincidunt massa amet vel. Laoreet ornare quisque hendrerit magna sit augue. Lacinia. Ut.' StaticText 'Lacus dui porttitor fames quam. Aenean. Elit mauris tellus, ultrices in pulvinar. Fringilla urna quis. Suspendisse maecenas arcu a. Mollis tincidunt id orci eu purus dolor non duis nisl congue vitae,. Vitae convallis blandit. Eu a scelerisque viverra diam tincidunt consequat neque diam quam…</x:v>
      </x:c>
      <x:c r="R283" s="20" t="str">
        <x:v>file:///root/autodl-tmp/miniwob-plusplus/miniwob/html/miniwob/scroll-text.html</x:v>
      </x:c>
      <x:c r="S283" s="20" t="str">
        <x:v>Scroll Text Task</x:v>
      </x:c>
      <x:c r="T283" s="20" t="str">
        <x:v>RootWebArea 'Scroll Text Task', focused [13] textbox '' value='Lacus dui porttitor fames quam. Aenean. Elit mauris tellus, ultrices in pulvinar. Fringilla urna quis. Suspendisse maecenas arcu a. Mollis tincidunt id orci eu purus dolor non duis nisl congue vitae,. Vitae convallis blandit. Eu a scelerisque viverra diam tincidunt consequat neque diam quam ornare imperdiet et fermentum. Penatibus tortor, quam bibendum mattis duis faucibus sed mauris condimentum pretium. Convallis turpis arcu volutpat. In tincidunt massa amet vel. Laoreet ornare quisque hendrerit magna sit augue. Lacinia. Ut.' StaticText 'Lacus dui porttitor fames quam. Aenean. Elit mauris tellus, ultrices in pulvinar. Fringilla urna quis. Suspendisse maecenas arcu a. Mollis tincidunt id orci eu purus dolor non duis nisl congue vitae,. Vitae convallis blandit. Eu a scelerisque viverra diam tincidunt consequat neque diam quam…</x:v>
      </x:c>
      <x:c r="U283" s="6" t="str">
        <x:v>0</x:v>
      </x:c>
      <x:c r="V283" s="6" t="str">
        <x:v>0</x:v>
      </x:c>
      <x:c r="W283" s="6" t="str">
        <x:v>0</x:v>
      </x:c>
      <x:c r="X283" s="6" t="str">
        <x:v>1</x:v>
      </x:c>
      <x:c r="Y283" s="6" t="str">
        <x:v>0</x:v>
      </x:c>
      <x:c r="Z283" s="6" t="str">
        <x:v>1</x:v>
      </x:c>
      <x:c r="AA283" s="6" t="str">
        <x:v>0.0</x:v>
      </x:c>
      <x:c r="AB283" s="20" t="str">
        <x:v>Codex证据复核v1：原始记录唯一匹配、环境实测、反事实配对ID完整、终止且非成功、奖励非正、队列标签与结果派生规则一致；非人工签字。</x:v>
      </x:c>
    </x:row>
    <x:row r="284" ht="46" customHeight="1">
      <x:c r="A284" s="6" t="str">
        <x:v>1</x:v>
      </x:c>
      <x:c r="B284" s="6" t="str">
        <x:v>2e3bacebb863ddb9a778</x:v>
      </x:c>
      <x:c r="C284" s="6" t="str">
        <x:v>evidence_approved</x:v>
      </x:c>
      <x:c r="D284" s="6" t="str">
        <x:v>codex-evidence-review-v1</x:v>
      </x:c>
      <x:c r="E284" s="22" t="n">
        <x:v>46244.40206471065</x:v>
      </x:c>
      <x:c r="F284" s="6" t="str">
        <x:v>20</x:v>
      </x:c>
      <x:c r="G284" s="20" t="str">
        <x:v>observed_counterfactual;severe_failure;terminal</x:v>
      </x:c>
      <x:c r="H284" s="20" t="str">
        <x:v>browsergym/miniwob.click-checkboxes</x:v>
      </x:c>
      <x:c r="I284" s="6" t="str">
        <x:v>browsergym/miniwob.click-checkboxes</x:v>
      </x:c>
      <x:c r="J284" s="6" t="str">
        <x:v>cf-click-checkboxes-seed1013-hard_wrong_target</x:v>
      </x:c>
      <x:c r="K284" s="6" t="str">
        <x:v>0</x:v>
      </x:c>
      <x:c r="L284" s="20" t="str">
        <x:v>Select qpY, ep4ors, 1BB4ksu and click Submit.</x:v>
      </x:c>
      <x:c r="M284" s="20" t="str">
        <x:v>click("33", "left")</x:v>
      </x:c>
      <x:c r="N284" s="6" t="str">
        <x:v>0.0</x:v>
      </x:c>
      <x:c r="O284" s="20" t="str">
        <x:v>file:///root/autodl-tmp/miniwob-plusplus/miniwob/html/miniwob/click-checkboxes.html</x:v>
      </x:c>
      <x:c r="P284" s="20" t="str">
        <x:v>Click Checkboxes Task</x:v>
      </x:c>
      <x:c r="Q284" s="20" t="str">
        <x:v>RootWebArea 'Click Checkboxes Task', focused [17] LabelText '', clickable [18] checkbox 'qpY', clickable, checked='false' StaticText 'qpY' [20] LabelText '', clickable [21] checkbox 'ep4ors', clickable, checked='false' StaticText 'ep4ors' [23] LabelText '', clickable [24] checkbox 'sJ', clickable, checked='false' StaticText 'sJ' [26] LabelText '', clickable [27] checkbox '1BB4ksu', clickable, checked='false' StaticText '1BB4ksu' [29] LabelText '', clickable [30] checkbox 'wh', clickable, checked='false' StaticText 'wh' [33] button 'Submit', clickable</x:v>
      </x:c>
      <x:c r="R284" s="20" t="str">
        <x:v>file:///root/autodl-tmp/miniwob-plusplus/miniwob/html/miniwob/click-checkboxes.html</x:v>
      </x:c>
      <x:c r="S284" s="20" t="str">
        <x:v>Click Checkboxes Task</x:v>
      </x:c>
      <x:c r="T284" s="20" t="str">
        <x:v>RootWebArea 'Click Checkboxes Task', focused [17] LabelText '', clickable [18] checkbox 'qpY', clickable, checked='false' StaticText 'qpY' [20] LabelText '', clickable [21] checkbox 'ep4ors', clickable, checked='false' StaticText 'ep4ors' [23] LabelText '', clickable [24] checkbox 'sJ', clickable, checked='false' StaticText 'sJ' [26] LabelText '', clickable [27] checkbox '1BB4ksu', clickable, checked='false' StaticText '1BB4ksu' [29] LabelText '', clickable [30] checkbox 'wh', clickable, checked='false' StaticText 'wh' [33] button 'Submit', clickable, focused</x:v>
      </x:c>
      <x:c r="U284" s="6" t="str">
        <x:v>0</x:v>
      </x:c>
      <x:c r="V284" s="6" t="str">
        <x:v>0</x:v>
      </x:c>
      <x:c r="W284" s="6" t="str">
        <x:v>0</x:v>
      </x:c>
      <x:c r="X284" s="6" t="str">
        <x:v>1</x:v>
      </x:c>
      <x:c r="Y284" s="6" t="str">
        <x:v>0</x:v>
      </x:c>
      <x:c r="Z284" s="6" t="str">
        <x:v>1</x:v>
      </x:c>
      <x:c r="AA284" s="6" t="str">
        <x:v>0.0</x:v>
      </x:c>
      <x:c r="AB284" s="20" t="str">
        <x:v>Codex证据复核v1：原始记录唯一匹配、环境实测、反事实配对ID完整、终止且非成功、奖励非正、队列标签与结果派生规则一致；非人工签字。</x:v>
      </x:c>
    </x:row>
    <x:row r="285" ht="46" customHeight="1">
      <x:c r="A285" s="6" t="str">
        <x:v>1</x:v>
      </x:c>
      <x:c r="B285" s="6" t="str">
        <x:v>f4e6aad3225b1da8bc1a</x:v>
      </x:c>
      <x:c r="C285" s="6" t="str">
        <x:v>evidence_approved</x:v>
      </x:c>
      <x:c r="D285" s="6" t="str">
        <x:v>codex-evidence-review-v1</x:v>
      </x:c>
      <x:c r="E285" s="22" t="n">
        <x:v>46244.40206471065</x:v>
      </x:c>
      <x:c r="F285" s="6" t="str">
        <x:v>20</x:v>
      </x:c>
      <x:c r="G285" s="20" t="str">
        <x:v>observed_counterfactual;severe_failure;terminal</x:v>
      </x:c>
      <x:c r="H285" s="20" t="str">
        <x:v>browsergym/miniwob.click-test-2</x:v>
      </x:c>
      <x:c r="I285" s="6" t="str">
        <x:v>browsergym/miniwob.click-test-2</x:v>
      </x:c>
      <x:c r="J285" s="6" t="str">
        <x:v>cf-click-test-2-seed1017-hard_wrong_target</x:v>
      </x:c>
      <x:c r="K285" s="6" t="str">
        <x:v>0</x:v>
      </x:c>
      <x:c r="L285" s="20" t="str">
        <x:v>Click button ONE.</x:v>
      </x:c>
      <x:c r="M285" s="20" t="str">
        <x:v>click("14", "left")</x:v>
      </x:c>
      <x:c r="N285" s="6" t="str">
        <x:v>0.0</x:v>
      </x:c>
      <x:c r="O285" s="20" t="str">
        <x:v>file:///root/autodl-tmp/miniwob-plusplus/miniwob/html/miniwob/click-test-2.html</x:v>
      </x:c>
      <x:c r="P285" s="20" t="str">
        <x:v>Click Test Task</x:v>
      </x:c>
      <x:c r="Q285" s="20" t="str">
        <x:v>RootWebArea 'Click Test Task', focused [13] button 'ONE', clickable [14] button 'TWO', clickable</x:v>
      </x:c>
      <x:c r="R285" s="20" t="str">
        <x:v>file:///root/autodl-tmp/miniwob-plusplus/miniwob/html/miniwob/click-test-2.html</x:v>
      </x:c>
      <x:c r="S285" s="20" t="str">
        <x:v>Click Test Task</x:v>
      </x:c>
      <x:c r="T285" s="20" t="str">
        <x:v>RootWebArea 'Click Test Task', focused [13] button 'ONE', clickable [14] button 'TWO', clickable, focused</x:v>
      </x:c>
      <x:c r="U285" s="6" t="str">
        <x:v>0</x:v>
      </x:c>
      <x:c r="V285" s="6" t="str">
        <x:v>0</x:v>
      </x:c>
      <x:c r="W285" s="6" t="str">
        <x:v>0</x:v>
      </x:c>
      <x:c r="X285" s="6" t="str">
        <x:v>1</x:v>
      </x:c>
      <x:c r="Y285" s="6" t="str">
        <x:v>0</x:v>
      </x:c>
      <x:c r="Z285" s="6" t="str">
        <x:v>1</x:v>
      </x:c>
      <x:c r="AA285" s="6" t="str">
        <x:v>0.0</x:v>
      </x:c>
      <x:c r="AB285" s="20" t="str">
        <x:v>Codex证据复核v1：原始记录唯一匹配、环境实测、反事实配对ID完整、终止且非成功、奖励非正、队列标签与结果派生规则一致；非人工签字。</x:v>
      </x:c>
    </x:row>
    <x:row r="286" ht="46" customHeight="1">
      <x:c r="A286" s="6" t="str">
        <x:v>1</x:v>
      </x:c>
      <x:c r="B286" s="6" t="str">
        <x:v>603c2fed2eacdcd3ef5e</x:v>
      </x:c>
      <x:c r="C286" s="6" t="str">
        <x:v>evidence_approved</x:v>
      </x:c>
      <x:c r="D286" s="6" t="str">
        <x:v>codex-evidence-review-v1</x:v>
      </x:c>
      <x:c r="E286" s="22" t="n">
        <x:v>46244.40206471065</x:v>
      </x:c>
      <x:c r="F286" s="6" t="str">
        <x:v>20</x:v>
      </x:c>
      <x:c r="G286" s="20" t="str">
        <x:v>observed_counterfactual;severe_failure;terminal</x:v>
      </x:c>
      <x:c r="H286" s="20" t="str">
        <x:v>browsergym/miniwob.click-test-2</x:v>
      </x:c>
      <x:c r="I286" s="6" t="str">
        <x:v>browsergym/miniwob.click-test-2</x:v>
      </x:c>
      <x:c r="J286" s="6" t="str">
        <x:v>cf-click-test-2-seed1030-hard_wrong_target</x:v>
      </x:c>
      <x:c r="K286" s="6" t="str">
        <x:v>0</x:v>
      </x:c>
      <x:c r="L286" s="20" t="str">
        <x:v>Click button ONE.</x:v>
      </x:c>
      <x:c r="M286" s="20" t="str">
        <x:v>click("14", "left")</x:v>
      </x:c>
      <x:c r="N286" s="6" t="str">
        <x:v>0.0</x:v>
      </x:c>
      <x:c r="O286" s="20" t="str">
        <x:v>file:///root/autodl-tmp/miniwob-plusplus/miniwob/html/miniwob/click-test-2.html</x:v>
      </x:c>
      <x:c r="P286" s="20" t="str">
        <x:v>Click Test Task</x:v>
      </x:c>
      <x:c r="Q286" s="20" t="str">
        <x:v>RootWebArea 'Click Test Task', focused [13] button 'ONE', clickable [14] button 'TWO', clickable</x:v>
      </x:c>
      <x:c r="R286" s="20" t="str">
        <x:v>file:///root/autodl-tmp/miniwob-plusplus/miniwob/html/miniwob/click-test-2.html</x:v>
      </x:c>
      <x:c r="S286" s="20" t="str">
        <x:v>Click Test Task</x:v>
      </x:c>
      <x:c r="T286" s="20" t="str">
        <x:v>RootWebArea 'Click Test Task', focused [13] button 'ONE', clickable [14] button 'TWO', clickable, focused</x:v>
      </x:c>
      <x:c r="U286" s="6" t="str">
        <x:v>0</x:v>
      </x:c>
      <x:c r="V286" s="6" t="str">
        <x:v>0</x:v>
      </x:c>
      <x:c r="W286" s="6" t="str">
        <x:v>0</x:v>
      </x:c>
      <x:c r="X286" s="6" t="str">
        <x:v>1</x:v>
      </x:c>
      <x:c r="Y286" s="6" t="str">
        <x:v>0</x:v>
      </x:c>
      <x:c r="Z286" s="6" t="str">
        <x:v>1</x:v>
      </x:c>
      <x:c r="AA286" s="6" t="str">
        <x:v>0.0</x:v>
      </x:c>
      <x:c r="AB286" s="20" t="str">
        <x:v>Codex证据复核v1：原始记录唯一匹配、环境实测、反事实配对ID完整、终止且非成功、奖励非正、队列标签与结果派生规则一致；非人工签字。</x:v>
      </x:c>
    </x:row>
    <x:row r="287" ht="46" customHeight="1">
      <x:c r="A287" s="6" t="str">
        <x:v>1</x:v>
      </x:c>
      <x:c r="B287" s="6" t="str">
        <x:v>b3daf63739de8840c2c6</x:v>
      </x:c>
      <x:c r="C287" s="6" t="str">
        <x:v>evidence_approved</x:v>
      </x:c>
      <x:c r="D287" s="6" t="str">
        <x:v>codex-evidence-review-v1</x:v>
      </x:c>
      <x:c r="E287" s="22" t="n">
        <x:v>46244.40206471065</x:v>
      </x:c>
      <x:c r="F287" s="6" t="str">
        <x:v>20</x:v>
      </x:c>
      <x:c r="G287" s="20" t="str">
        <x:v>observed_counterfactual;severe_failure;terminal</x:v>
      </x:c>
      <x:c r="H287" s="20" t="str">
        <x:v>browsergym/miniwob.enter-text</x:v>
      </x:c>
      <x:c r="I287" s="6" t="str">
        <x:v>browsergym/miniwob.enter-text</x:v>
      </x:c>
      <x:c r="J287" s="6" t="str">
        <x:v>cf-enter-text-seed1038-hard_wrong_target</x:v>
      </x:c>
      <x:c r="K287" s="6" t="str">
        <x:v>0</x:v>
      </x:c>
      <x:c r="L287" s="20" t="str">
        <x:v>Enter "Dolores" into the text field and press Submit.</x:v>
      </x:c>
      <x:c r="M287" s="20" t="str">
        <x:v>click("15", "left")</x:v>
      </x:c>
      <x:c r="N287" s="6" t="str">
        <x:v>0.0</x:v>
      </x:c>
      <x:c r="O287" s="20" t="str">
        <x:v>file:///root/autodl-tmp/miniwob-plusplus/miniwob/html/miniwob/enter-text.html</x:v>
      </x:c>
      <x:c r="P287" s="20" t="str">
        <x:v>Enter Text Task</x:v>
      </x:c>
      <x:c r="Q287" s="20" t="str">
        <x:v>RootWebArea 'Enter Text Task', focused [14] textbox '', clickable [15] button 'Submit', clickable</x:v>
      </x:c>
      <x:c r="R287" s="20" t="str">
        <x:v>file:///root/autodl-tmp/miniwob-plusplus/miniwob/html/miniwob/enter-text.html</x:v>
      </x:c>
      <x:c r="S287" s="20" t="str">
        <x:v>Enter Text Task</x:v>
      </x:c>
      <x:c r="T287" s="20" t="str">
        <x:v>RootWebArea 'Enter Text Task', focused [14] textbox '', clickable [15] button 'Submit', clickable, focused</x:v>
      </x:c>
      <x:c r="U287" s="6" t="str">
        <x:v>0</x:v>
      </x:c>
      <x:c r="V287" s="6" t="str">
        <x:v>0</x:v>
      </x:c>
      <x:c r="W287" s="6" t="str">
        <x:v>0</x:v>
      </x:c>
      <x:c r="X287" s="6" t="str">
        <x:v>1</x:v>
      </x:c>
      <x:c r="Y287" s="6" t="str">
        <x:v>0</x:v>
      </x:c>
      <x:c r="Z287" s="6" t="str">
        <x:v>1</x:v>
      </x:c>
      <x:c r="AA287" s="6" t="str">
        <x:v>0.0</x:v>
      </x:c>
      <x:c r="AB287" s="20" t="str">
        <x:v>Codex证据复核v1：原始记录唯一匹配、环境实测、反事实配对ID完整、终止且非成功、奖励非正、队列标签与结果派生规则一致；非人工签字。</x:v>
      </x:c>
    </x:row>
    <x:row r="288" ht="46" customHeight="1">
      <x:c r="A288" s="6" t="str">
        <x:v>1</x:v>
      </x:c>
      <x:c r="B288" s="6" t="str">
        <x:v>b458521798232f94f963</x:v>
      </x:c>
      <x:c r="C288" s="6" t="str">
        <x:v>evidence_approved</x:v>
      </x:c>
      <x:c r="D288" s="6" t="str">
        <x:v>codex-evidence-review-v1</x:v>
      </x:c>
      <x:c r="E288" s="22" t="n">
        <x:v>46244.40206471065</x:v>
      </x:c>
      <x:c r="F288" s="6" t="str">
        <x:v>20</x:v>
      </x:c>
      <x:c r="G288" s="20" t="str">
        <x:v>observed_counterfactual;severe_failure;terminal</x:v>
      </x:c>
      <x:c r="H288" s="20" t="str">
        <x:v>browsergym/miniwob.enter-password</x:v>
      </x:c>
      <x:c r="I288" s="6" t="str">
        <x:v>browsergym/miniwob.enter-password</x:v>
      </x:c>
      <x:c r="J288" s="6" t="str">
        <x:v>cf-enter-password-seed1002-hard_wrong_target</x:v>
      </x:c>
      <x:c r="K288" s="6" t="str">
        <x:v>0</x:v>
      </x:c>
      <x:c r="L288" s="20" t="str">
        <x:v>Enter the password "jynF" into both text fields and press submit.</x:v>
      </x:c>
      <x:c r="M288" s="20" t="str">
        <x:v>click("20", "left")</x:v>
      </x:c>
      <x:c r="N288" s="6" t="str">
        <x:v>0.0</x:v>
      </x:c>
      <x:c r="O288" s="20" t="str">
        <x:v>file:///root/autodl-tmp/miniwob-plusplus/miniwob/html/miniwob/enter-password.html</x:v>
      </x:c>
      <x:c r="P288" s="20" t="str">
        <x:v>Enter Password Task</x:v>
      </x:c>
      <x:c r="Q288" s="20" t="str">
        <x:v>RootWebArea 'Enter Password Task', focused [14] paragraph '' [15] LabelText '' StaticText 'Password' [16] textbox '', clickable [17] paragraph '' [18] LabelText '' StaticText 'Verify password' [19] textbox '', clickable [20] button 'Submit', clickable</x:v>
      </x:c>
      <x:c r="R288" s="20" t="str">
        <x:v>file:///root/autodl-tmp/miniwob-plusplus/miniwob/html/miniwob/enter-password.html</x:v>
      </x:c>
      <x:c r="S288" s="20" t="str">
        <x:v>Enter Password Task</x:v>
      </x:c>
      <x:c r="T288" s="20" t="str">
        <x:v>RootWebArea 'Enter Password Task', focused [14] paragraph '' [15] LabelText '' StaticText 'Password' [16] textbox '', clickable [17] paragraph '' [18] LabelText '' StaticText 'Verify password' [19] textbox '', clickable [20] button 'Submit', clickable, focused</x:v>
      </x:c>
      <x:c r="U288" s="6" t="str">
        <x:v>0</x:v>
      </x:c>
      <x:c r="V288" s="6" t="str">
        <x:v>0</x:v>
      </x:c>
      <x:c r="W288" s="6" t="str">
        <x:v>0</x:v>
      </x:c>
      <x:c r="X288" s="6" t="str">
        <x:v>1</x:v>
      </x:c>
      <x:c r="Y288" s="6" t="str">
        <x:v>0</x:v>
      </x:c>
      <x:c r="Z288" s="6" t="str">
        <x:v>1</x:v>
      </x:c>
      <x:c r="AA288" s="6" t="str">
        <x:v>0.0</x:v>
      </x:c>
      <x:c r="AB288" s="20" t="str">
        <x:v>Codex证据复核v1：原始记录唯一匹配、环境实测、反事实配对ID完整、终止且非成功、奖励非正、队列标签与结果派生规则一致；非人工签字。</x:v>
      </x:c>
    </x:row>
    <x:row r="289" ht="46" customHeight="1">
      <x:c r="A289" s="6" t="str">
        <x:v>1</x:v>
      </x:c>
      <x:c r="B289" s="6" t="str">
        <x:v>e920d27a22a95a024e61</x:v>
      </x:c>
      <x:c r="C289" s="6" t="str">
        <x:v>evidence_approved</x:v>
      </x:c>
      <x:c r="D289" s="6" t="str">
        <x:v>codex-evidence-review-v1</x:v>
      </x:c>
      <x:c r="E289" s="22" t="n">
        <x:v>46244.40206471065</x:v>
      </x:c>
      <x:c r="F289" s="6" t="str">
        <x:v>20</x:v>
      </x:c>
      <x:c r="G289" s="20" t="str">
        <x:v>observed_counterfactual;severe_failure;terminal</x:v>
      </x:c>
      <x:c r="H289" s="20" t="str">
        <x:v>browsergym/miniwob.enter-text</x:v>
      </x:c>
      <x:c r="I289" s="6" t="str">
        <x:v>browsergym/miniwob.enter-text</x:v>
      </x:c>
      <x:c r="J289" s="6" t="str">
        <x:v>cf-enter-text-seed1006-hard_wrong_target</x:v>
      </x:c>
      <x:c r="K289" s="6" t="str">
        <x:v>0</x:v>
      </x:c>
      <x:c r="L289" s="20" t="str">
        <x:v>Enter "Riley" into the text field and press Submit.</x:v>
      </x:c>
      <x:c r="M289" s="20" t="str">
        <x:v>click("15", "left")</x:v>
      </x:c>
      <x:c r="N289" s="6" t="str">
        <x:v>0.0</x:v>
      </x:c>
      <x:c r="O289" s="20" t="str">
        <x:v>file:///root/autodl-tmp/miniwob-plusplus/miniwob/html/miniwob/enter-text.html</x:v>
      </x:c>
      <x:c r="P289" s="20" t="str">
        <x:v>Enter Text Task</x:v>
      </x:c>
      <x:c r="Q289" s="20" t="str">
        <x:v>RootWebArea 'Enter Text Task', focused [14] textbox '', clickable [15] button 'Submit', clickable</x:v>
      </x:c>
      <x:c r="R289" s="20" t="str">
        <x:v>file:///root/autodl-tmp/miniwob-plusplus/miniwob/html/miniwob/enter-text.html</x:v>
      </x:c>
      <x:c r="S289" s="20" t="str">
        <x:v>Enter Text Task</x:v>
      </x:c>
      <x:c r="T289" s="20" t="str">
        <x:v>RootWebArea 'Enter Text Task', focused [14] textbox '', clickable [15] button 'Submit', clickable, focused</x:v>
      </x:c>
      <x:c r="U289" s="6" t="str">
        <x:v>0</x:v>
      </x:c>
      <x:c r="V289" s="6" t="str">
        <x:v>0</x:v>
      </x:c>
      <x:c r="W289" s="6" t="str">
        <x:v>0</x:v>
      </x:c>
      <x:c r="X289" s="6" t="str">
        <x:v>1</x:v>
      </x:c>
      <x:c r="Y289" s="6" t="str">
        <x:v>0</x:v>
      </x:c>
      <x:c r="Z289" s="6" t="str">
        <x:v>1</x:v>
      </x:c>
      <x:c r="AA289" s="6" t="str">
        <x:v>0.0</x:v>
      </x:c>
      <x:c r="AB289" s="20" t="str">
        <x:v>Codex证据复核v1：原始记录唯一匹配、环境实测、反事实配对ID完整、终止且非成功、奖励非正、队列标签与结果派生规则一致；非人工签字。</x:v>
      </x:c>
    </x:row>
    <x:row r="290" ht="46" customHeight="1">
      <x:c r="A290" s="6" t="str">
        <x:v>1</x:v>
      </x:c>
      <x:c r="B290" s="6" t="str">
        <x:v>1c0f38201037595bbbb2</x:v>
      </x:c>
      <x:c r="C290" s="6" t="str">
        <x:v>evidence_approved</x:v>
      </x:c>
      <x:c r="D290" s="6" t="str">
        <x:v>codex-evidence-review-v1</x:v>
      </x:c>
      <x:c r="E290" s="22" t="n">
        <x:v>46244.40206471065</x:v>
      </x:c>
      <x:c r="F290" s="6" t="str">
        <x:v>20</x:v>
      </x:c>
      <x:c r="G290" s="20" t="str">
        <x:v>observed_counterfactual;severe_failure;terminal</x:v>
      </x:c>
      <x:c r="H290" s="20" t="str">
        <x:v>browsergym/miniwob.enter-password</x:v>
      </x:c>
      <x:c r="I290" s="6" t="str">
        <x:v>browsergym/miniwob.enter-password</x:v>
      </x:c>
      <x:c r="J290" s="6" t="str">
        <x:v>cf-enter-password-seed1031-hard_wrong_target</x:v>
      </x:c>
      <x:c r="K290" s="6" t="str">
        <x:v>0</x:v>
      </x:c>
      <x:c r="L290" s="20" t="str">
        <x:v>Enter the password "2WrY3" into both text fields and press submit.</x:v>
      </x:c>
      <x:c r="M290" s="20" t="str">
        <x:v>click("20", "left")</x:v>
      </x:c>
      <x:c r="N290" s="6" t="str">
        <x:v>0.0</x:v>
      </x:c>
      <x:c r="O290" s="20" t="str">
        <x:v>file:///root/autodl-tmp/miniwob-plusplus/miniwob/html/miniwob/enter-password.html</x:v>
      </x:c>
      <x:c r="P290" s="20" t="str">
        <x:v>Enter Password Task</x:v>
      </x:c>
      <x:c r="Q290" s="20" t="str">
        <x:v>RootWebArea 'Enter Password Task', focused [14] paragraph '' [15] LabelText '' StaticText 'Password' [16] textbox '', clickable [17] paragraph '' [18] LabelText '' StaticText 'Verify password' [19] textbox '', clickable [20] button 'Submit', clickable</x:v>
      </x:c>
      <x:c r="R290" s="20" t="str">
        <x:v>file:///root/autodl-tmp/miniwob-plusplus/miniwob/html/miniwob/enter-password.html</x:v>
      </x:c>
      <x:c r="S290" s="20" t="str">
        <x:v>Enter Password Task</x:v>
      </x:c>
      <x:c r="T290" s="20" t="str">
        <x:v>RootWebArea 'Enter Password Task', focused [14] paragraph '' [15] LabelText '' StaticText 'Password' [16] textbox '', clickable [17] paragraph '' [18] LabelText '' StaticText 'Verify password' [19] textbox '', clickable [20] button 'Submit', clickable, focused</x:v>
      </x:c>
      <x:c r="U290" s="6" t="str">
        <x:v>0</x:v>
      </x:c>
      <x:c r="V290" s="6" t="str">
        <x:v>0</x:v>
      </x:c>
      <x:c r="W290" s="6" t="str">
        <x:v>0</x:v>
      </x:c>
      <x:c r="X290" s="6" t="str">
        <x:v>1</x:v>
      </x:c>
      <x:c r="Y290" s="6" t="str">
        <x:v>0</x:v>
      </x:c>
      <x:c r="Z290" s="6" t="str">
        <x:v>1</x:v>
      </x:c>
      <x:c r="AA290" s="6" t="str">
        <x:v>0.0</x:v>
      </x:c>
      <x:c r="AB290" s="20" t="str">
        <x:v>Codex证据复核v1：原始记录唯一匹配、环境实测、反事实配对ID完整、终止且非成功、奖励非正、队列标签与结果派生规则一致；非人工签字。</x:v>
      </x:c>
    </x:row>
    <x:row r="291" ht="46" customHeight="1">
      <x:c r="A291" s="6" t="str">
        <x:v>1</x:v>
      </x:c>
      <x:c r="B291" s="6" t="str">
        <x:v>eb089625b58fb4fd1a36</x:v>
      </x:c>
      <x:c r="C291" s="6" t="str">
        <x:v>evidence_approved</x:v>
      </x:c>
      <x:c r="D291" s="6" t="str">
        <x:v>codex-evidence-review-v1</x:v>
      </x:c>
      <x:c r="E291" s="22" t="n">
        <x:v>46244.40206471065</x:v>
      </x:c>
      <x:c r="F291" s="6" t="str">
        <x:v>20</x:v>
      </x:c>
      <x:c r="G291" s="20" t="str">
        <x:v>observed_counterfactual;severe_failure;terminal</x:v>
      </x:c>
      <x:c r="H291" s="20" t="str">
        <x:v>browsergym/miniwob.click-checkboxes-soft</x:v>
      </x:c>
      <x:c r="I291" s="6" t="str">
        <x:v>browsergym/miniwob.click-checkboxes-soft</x:v>
      </x:c>
      <x:c r="J291" s="6" t="str">
        <x:v>cf-click-checkboxes-soft-seed1028-wrong_action_type</x:v>
      </x:c>
      <x:c r="K291" s="6" t="str">
        <x:v>0</x:v>
      </x:c>
      <x:c r="L291" s="20" t="str">
        <x:v>Select words similar to furious, humorous, little, scared and click Submit.</x:v>
      </x:c>
      <x:c r="M291" s="20" t="str">
        <x:v>click("33", "left")</x:v>
      </x:c>
      <x:c r="N291" s="6" t="str">
        <x:v>0.0</x:v>
      </x:c>
      <x:c r="O291" s="20" t="str">
        <x:v>file:///root/autodl-tmp/miniwob-plusplus/miniwob/html/miniwob/click-checkboxes-soft.html</x:v>
      </x:c>
      <x:c r="P291" s="20" t="str">
        <x:v>Click Checkboxes Task</x:v>
      </x:c>
      <x:c r="Q291" s="20" t="str">
        <x:v>RootWebArea 'Click Checkboxes Task', focused [17] LabelText '', clickable [18] checkbox 'laughable', clickable, checked='false' StaticText 'laughable' [20] LabelText '', clickable [21] checkbox 'frightened', clickable, checked='false' StaticText 'frightened' [23] LabelText '', clickable [24] checkbox 'angry', clickable, checked='false' StaticText 'angry' [26] LabelText '', clickable [27] checkbox 'small', clickable, checked='false' StaticText 'small' [29] LabelText '', clickable [30] checkbox 'incorrect', clickable, checked='false' StaticText 'incorrect' [33] button 'Submit', clickable</x:v>
      </x:c>
      <x:c r="R291" s="20" t="str">
        <x:v>file:///root/autodl-tmp/miniwob-plusplus/miniwob/html/miniwob/click-checkboxes-soft.html</x:v>
      </x:c>
      <x:c r="S291" s="20" t="str">
        <x:v>Click Checkboxes Task</x:v>
      </x:c>
      <x:c r="T291" s="20" t="str">
        <x:v>RootWebArea 'Click Checkboxes Task', focused [17] LabelText '', clickable [18] checkbox 'laughable', clickable, checked='false' StaticText 'laughable' [20] LabelText '', clickable [21] checkbox 'frightened', clickable, checked='false' StaticText 'frightened' [23] LabelText '', clickable [24] checkbox 'angry', clickable, checked='false' StaticText 'angry' [26] LabelText '', clickable [27] checkbox 'small', clickable, checked='false' StaticText 'small' [29] LabelText '', clickable [30] checkbox 'incorrect', clickable, checked='false' StaticText 'incorrect' [33] button 'Submit', clickable, focused</x:v>
      </x:c>
      <x:c r="U291" s="6" t="str">
        <x:v>0</x:v>
      </x:c>
      <x:c r="V291" s="6" t="str">
        <x:v>0</x:v>
      </x:c>
      <x:c r="W291" s="6" t="str">
        <x:v>0</x:v>
      </x:c>
      <x:c r="X291" s="6" t="str">
        <x:v>1</x:v>
      </x:c>
      <x:c r="Y291" s="6" t="str">
        <x:v>0</x:v>
      </x:c>
      <x:c r="Z291" s="6" t="str">
        <x:v>1</x:v>
      </x:c>
      <x:c r="AA291" s="6" t="str">
        <x:v>0.0</x:v>
      </x:c>
      <x:c r="AB291" s="20" t="str">
        <x:v>Codex证据复核v1：原始记录唯一匹配、环境实测、反事实配对ID完整、终止且非成功、奖励非正、队列标签与结果派生规则一致；非人工签字。</x:v>
      </x:c>
    </x:row>
    <x:row r="292" ht="46" customHeight="1">
      <x:c r="A292" s="6" t="str">
        <x:v>1</x:v>
      </x:c>
      <x:c r="B292" s="6" t="str">
        <x:v>7ccacb02d67ae5c7d40b</x:v>
      </x:c>
      <x:c r="C292" s="6" t="str">
        <x:v>evidence_approved</x:v>
      </x:c>
      <x:c r="D292" s="6" t="str">
        <x:v>codex-evidence-review-v1</x:v>
      </x:c>
      <x:c r="E292" s="22" t="n">
        <x:v>46244.40206471065</x:v>
      </x:c>
      <x:c r="F292" s="6" t="str">
        <x:v>20</x:v>
      </x:c>
      <x:c r="G292" s="20" t="str">
        <x:v>observed_counterfactual;severe_failure;terminal</x:v>
      </x:c>
      <x:c r="H292" s="20" t="str">
        <x:v>browsergym/miniwob.click-collapsible</x:v>
      </x:c>
      <x:c r="I292" s="6" t="str">
        <x:v>browsergym/miniwob.click-collapsible</x:v>
      </x:c>
      <x:c r="J292" s="6" t="str">
        <x:v>cf-click-collapsible-seed1022-hard_wrong_target</x:v>
      </x:c>
      <x:c r="K292" s="6" t="str">
        <x:v>0</x:v>
      </x:c>
      <x:c r="L292" s="20" t="str">
        <x:v>Expand the section below and click submit.</x:v>
      </x:c>
      <x:c r="M292" s="20" t="str">
        <x:v>click("19", "left")</x:v>
      </x:c>
      <x:c r="N292" s="6" t="str">
        <x:v>0.0</x:v>
      </x:c>
      <x:c r="O292" s="20" t="str">
        <x:v>file:///root/autodl-tmp/miniwob-plusplus/miniwob/html/miniwob/click-collapsible.html</x:v>
      </x:c>
      <x:c r="P292" s="20" t="str">
        <x:v>Click Collapsible Task</x:v>
      </x:c>
      <x:c r="Q292" s="20" t="str">
        <x:v>RootWebArea 'Click Collapsible Task', focused [15] tablist '', multiselectable=False, orientation='horizontal' [16] tab 'Section #21', clickable, expanded=False, selected=False, controls='ui-id-2' [19] tab 'Submit', clickable, expanded=False, selected=False [22] button 'Submit', clickable</x:v>
      </x:c>
      <x:c r="R292" s="20" t="str">
        <x:v>file:///root/autodl-tmp/miniwob-plusplus/miniwob/html/miniwob/click-collapsible.html</x:v>
      </x:c>
      <x:c r="S292" s="20" t="str">
        <x:v>Click Collapsible Task</x:v>
      </x:c>
      <x:c r="T292" s="20" t="str">
        <x:v>RootWebArea 'Click Collapsible Task', focused [15] tablist '', multiselectable=False, orientation='horizontal' [16] tab 'Section #21', clickable, expanded=False, selected=False, controls='ui-id-2' [19] tab 'Submit', clickable, expanded=False, selected=False [22] button 'Submit', clickable, focused</x:v>
      </x:c>
      <x:c r="U292" s="6" t="str">
        <x:v>0</x:v>
      </x:c>
      <x:c r="V292" s="6" t="str">
        <x:v>0</x:v>
      </x:c>
      <x:c r="W292" s="6" t="str">
        <x:v>0</x:v>
      </x:c>
      <x:c r="X292" s="6" t="str">
        <x:v>1</x:v>
      </x:c>
      <x:c r="Y292" s="6" t="str">
        <x:v>0</x:v>
      </x:c>
      <x:c r="Z292" s="6" t="str">
        <x:v>1</x:v>
      </x:c>
      <x:c r="AA292" s="6" t="str">
        <x:v>0.0</x:v>
      </x:c>
      <x:c r="AB292" s="20" t="str">
        <x:v>Codex证据复核v1：原始记录唯一匹配、环境实测、反事实配对ID完整、终止且非成功、奖励非正、队列标签与结果派生规则一致；非人工签字。</x:v>
      </x:c>
    </x:row>
    <x:row r="293" ht="46" customHeight="1">
      <x:c r="A293" s="6" t="str">
        <x:v>1</x:v>
      </x:c>
      <x:c r="B293" s="6" t="str">
        <x:v>106242d00f254fcf3371</x:v>
      </x:c>
      <x:c r="C293" s="6" t="str">
        <x:v>evidence_approved</x:v>
      </x:c>
      <x:c r="D293" s="6" t="str">
        <x:v>codex-evidence-review-v1</x:v>
      </x:c>
      <x:c r="E293" s="22" t="n">
        <x:v>46244.40206471065</x:v>
      </x:c>
      <x:c r="F293" s="6" t="str">
        <x:v>20</x:v>
      </x:c>
      <x:c r="G293" s="20" t="str">
        <x:v>observed_counterfactual;severe_failure;terminal</x:v>
      </x:c>
      <x:c r="H293" s="20" t="str">
        <x:v>browsergym/miniwob.scroll-text-2</x:v>
      </x:c>
      <x:c r="I293" s="6" t="str">
        <x:v>browsergym/miniwob.scroll-text-2</x:v>
      </x:c>
      <x:c r="J293" s="6" t="str">
        <x:v>cf-scroll-text-2-seed1015-hard_wrong_target</x:v>
      </x:c>
      <x:c r="K293" s="6" t="str">
        <x:v>0</x:v>
      </x:c>
      <x:c r="L293" s="20" t="str">
        <x:v>Scroll the textarea to the bottom of the text hit submit.</x:v>
      </x:c>
      <x:c r="M293" s="20" t="str">
        <x:v>click("14", "left")</x:v>
      </x:c>
      <x:c r="N293" s="6" t="str">
        <x:v>0.0</x:v>
      </x:c>
      <x:c r="O293" s="20" t="str">
        <x:v>file:///root/autodl-tmp/miniwob-plusplus/miniwob/html/miniwob/scroll-text-2.html</x:v>
      </x:c>
      <x:c r="P293" s="20" t="str">
        <x:v>Scroll Text Task</x:v>
      </x:c>
      <x:c r="Q293" s="20" t="str">
        <x:v>RootWebArea 'Scroll Text Task', focused [13] textbox '' value='Tellus. Rhoncus felis. Nullam tristique odio viverra porttitor tincidunt est in. Nunc, lacus. Egestas gravida. Eget faucibus. Facilisi porta ultrices erat. Rutrum fames. Mattis nam. Nibh quis. Etiam donec non sapien,. Quis nibh adipiscing urna, purus, quam nisl dui auctor consectetur. Consectetur dolor cras faucibus nunc lacus eget senectus in tortor eget volutpat morbi. Interdum libero a, at cras. Dictum eu, facilisis quis malesuada sit. Eget faucibus ullamcorper tellus nisl feugiat ultrices eget. Risus. Justo, vulputate nunc quam cursus viverra. Ut. Nisl malesuada q… StaticText 'Tellus. Rhoncus felis. Nullam tristique odio viverra porttitor tincidunt est in. Nunc, lacus. Egestas gravida. Eget faucibus. Facilisi porta ultrices erat. Rutrum fames. Mattis nam. Nibh quis. Etiam donec non sapien,. Quis nibh adipiscing urna, pur…</x:v>
      </x:c>
      <x:c r="R293" s="20" t="str">
        <x:v>file:///root/autodl-tmp/miniwob-plusplus/miniwob/html/miniwob/scroll-text-2.html</x:v>
      </x:c>
      <x:c r="S293" s="20" t="str">
        <x:v>Scroll Text Task</x:v>
      </x:c>
      <x:c r="T293" s="20" t="str">
        <x:v>RootWebArea 'Scroll Text Task', focused [13] textbox '' value='Tellus. Rhoncus felis. Nullam tristique odio viverra porttitor tincidunt est in. Nunc, lacus. Egestas gravida. Eget faucibus. Facilisi porta ultrices erat. Rutrum fames. Mattis nam. Nibh quis. Etiam donec non sapien,. Quis nibh adipiscing urna, purus, quam nisl dui auctor consectetur. Consectetur dolor cras faucibus nunc lacus eget senectus in tortor eget volutpat morbi. Interdum libero a, at cras. Dictum eu, facilisis quis malesuada sit. Eget faucibus ullamcorper tellus nisl feugiat ultrices eget. Risus. Justo, vulputate nunc quam cursus viverra. Ut. Nisl malesuada q… StaticText 'Tellus. Rhoncus felis. Nullam tristique odio viverra porttitor tincidunt est in. Nunc, lacus. Egestas gravida. Eget faucibus. Facilisi porta ultrices erat. Rutrum fames. Mattis nam. Nibh quis. Etiam donec non sapien,. Quis nibh adipiscing urna, pur…</x:v>
      </x:c>
      <x:c r="U293" s="6" t="str">
        <x:v>0</x:v>
      </x:c>
      <x:c r="V293" s="6" t="str">
        <x:v>0</x:v>
      </x:c>
      <x:c r="W293" s="6" t="str">
        <x:v>0</x:v>
      </x:c>
      <x:c r="X293" s="6" t="str">
        <x:v>1</x:v>
      </x:c>
      <x:c r="Y293" s="6" t="str">
        <x:v>0</x:v>
      </x:c>
      <x:c r="Z293" s="6" t="str">
        <x:v>1</x:v>
      </x:c>
      <x:c r="AA293" s="6" t="str">
        <x:v>0.0</x:v>
      </x:c>
      <x:c r="AB293" s="20" t="str">
        <x:v>Codex证据复核v1：原始记录唯一匹配、环境实测、反事实配对ID完整、终止且非成功、奖励非正、队列标签与结果派生规则一致；非人工签字。</x:v>
      </x:c>
    </x:row>
    <x:row r="294" ht="46" customHeight="1">
      <x:c r="A294" s="6" t="str">
        <x:v>1</x:v>
      </x:c>
      <x:c r="B294" s="6" t="str">
        <x:v>e4bb67d521f05173fb08</x:v>
      </x:c>
      <x:c r="C294" s="6" t="str">
        <x:v>evidence_approved</x:v>
      </x:c>
      <x:c r="D294" s="6" t="str">
        <x:v>codex-evidence-review-v1</x:v>
      </x:c>
      <x:c r="E294" s="22" t="n">
        <x:v>46244.40206471065</x:v>
      </x:c>
      <x:c r="F294" s="6" t="str">
        <x:v>20</x:v>
      </x:c>
      <x:c r="G294" s="20" t="str">
        <x:v>observed_counterfactual;severe_failure;terminal</x:v>
      </x:c>
      <x:c r="H294" s="20" t="str">
        <x:v>browsergym/miniwob.click-checkboxes-soft</x:v>
      </x:c>
      <x:c r="I294" s="6" t="str">
        <x:v>browsergym/miniwob.click-checkboxes-soft</x:v>
      </x:c>
      <x:c r="J294" s="6" t="str">
        <x:v>cf-click-checkboxes-soft-seed1028-hard_wrong_target</x:v>
      </x:c>
      <x:c r="K294" s="6" t="str">
        <x:v>0</x:v>
      </x:c>
      <x:c r="L294" s="20" t="str">
        <x:v>Select words similar to furious, humorous, little, scared and click Submit.</x:v>
      </x:c>
      <x:c r="M294" s="20" t="str">
        <x:v>click("33", "left")</x:v>
      </x:c>
      <x:c r="N294" s="6" t="str">
        <x:v>0.0</x:v>
      </x:c>
      <x:c r="O294" s="20" t="str">
        <x:v>file:///root/autodl-tmp/miniwob-plusplus/miniwob/html/miniwob/click-checkboxes-soft.html</x:v>
      </x:c>
      <x:c r="P294" s="20" t="str">
        <x:v>Click Checkboxes Task</x:v>
      </x:c>
      <x:c r="Q294" s="20" t="str">
        <x:v>RootWebArea 'Click Checkboxes Task', focused [17] LabelText '', clickable [18] checkbox 'laughable', clickable, checked='false' StaticText 'laughable' [20] LabelText '', clickable [21] checkbox 'frightened', clickable, checked='false' StaticText 'frightened' [23] LabelText '', clickable [24] checkbox 'angry', clickable, checked='false' StaticText 'angry' [26] LabelText '', clickable [27] checkbox 'small', clickable, checked='false' StaticText 'small' [29] LabelText '', clickable [30] checkbox 'incorrect', clickable, checked='false' StaticText 'incorrect' [33] button 'Submit', clickable</x:v>
      </x:c>
      <x:c r="R294" s="20" t="str">
        <x:v>file:///root/autodl-tmp/miniwob-plusplus/miniwob/html/miniwob/click-checkboxes-soft.html</x:v>
      </x:c>
      <x:c r="S294" s="20" t="str">
        <x:v>Click Checkboxes Task</x:v>
      </x:c>
      <x:c r="T294" s="20" t="str">
        <x:v>RootWebArea 'Click Checkboxes Task', focused [17] LabelText '', clickable [18] checkbox 'laughable', clickable, checked='false' StaticText 'laughable' [20] LabelText '', clickable [21] checkbox 'frightened', clickable, checked='false' StaticText 'frightened' [23] LabelText '', clickable [24] checkbox 'angry', clickable, checked='false' StaticText 'angry' [26] LabelText '', clickable [27] checkbox 'small', clickable, checked='false' StaticText 'small' [29] LabelText '', clickable [30] checkbox 'incorrect', clickable, checked='false' StaticText 'incorrect' [33] button 'Submit', clickable, focused</x:v>
      </x:c>
      <x:c r="U294" s="6" t="str">
        <x:v>0</x:v>
      </x:c>
      <x:c r="V294" s="6" t="str">
        <x:v>0</x:v>
      </x:c>
      <x:c r="W294" s="6" t="str">
        <x:v>0</x:v>
      </x:c>
      <x:c r="X294" s="6" t="str">
        <x:v>1</x:v>
      </x:c>
      <x:c r="Y294" s="6" t="str">
        <x:v>0</x:v>
      </x:c>
      <x:c r="Z294" s="6" t="str">
        <x:v>1</x:v>
      </x:c>
      <x:c r="AA294" s="6" t="str">
        <x:v>0.0</x:v>
      </x:c>
      <x:c r="AB294" s="20" t="str">
        <x:v>Codex证据复核v1：原始记录唯一匹配、环境实测、反事实配对ID完整、终止且非成功、奖励非正、队列标签与结果派生规则一致；非人工签字。</x:v>
      </x:c>
    </x:row>
    <x:row r="295" ht="46" customHeight="1">
      <x:c r="A295" s="6" t="str">
        <x:v>1</x:v>
      </x:c>
      <x:c r="B295" s="6" t="str">
        <x:v>fe083c329a5adbcf7ae8</x:v>
      </x:c>
      <x:c r="C295" s="6" t="str">
        <x:v>evidence_approved</x:v>
      </x:c>
      <x:c r="D295" s="6" t="str">
        <x:v>codex-evidence-review-v1</x:v>
      </x:c>
      <x:c r="E295" s="22" t="n">
        <x:v>46244.40206471065</x:v>
      </x:c>
      <x:c r="F295" s="6" t="str">
        <x:v>20</x:v>
      </x:c>
      <x:c r="G295" s="20" t="str">
        <x:v>observed_counterfactual;severe_failure;terminal</x:v>
      </x:c>
      <x:c r="H295" s="20" t="str">
        <x:v>browsergym/miniwob.click-option</x:v>
      </x:c>
      <x:c r="I295" s="6" t="str">
        <x:v>browsergym/miniwob.click-option</x:v>
      </x:c>
      <x:c r="J295" s="6" t="str">
        <x:v>cf-click-option-seed1012-hard_wrong_target</x:v>
      </x:c>
      <x:c r="K295" s="6" t="str">
        <x:v>0</x:v>
      </x:c>
      <x:c r="L295" s="20" t="str">
        <x:v>Select inYEpKI and click Submit.</x:v>
      </x:c>
      <x:c r="M295" s="20" t="str">
        <x:v>click("24", "left")</x:v>
      </x:c>
      <x:c r="N295" s="6" t="str">
        <x:v>0.0</x:v>
      </x:c>
      <x:c r="O295" s="20" t="str">
        <x:v>file:///root/autodl-tmp/miniwob-plusplus/miniwob/html/miniwob/click-option.html</x:v>
      </x:c>
      <x:c r="P295" s="20" t="str">
        <x:v>Click Option Task</x:v>
      </x:c>
      <x:c r="Q295" s="20" t="str">
        <x:v>RootWebArea 'Click Option Task', focused [17] LabelText '', clickable [18] radio 'inYEpKI', clickable, checked='false' StaticText 'inYEpKI' [20] LabelText '', clickable [21] radio '4A2m', clickable, checked='false' StaticText '4A2m' [24] button 'Submit', clickable</x:v>
      </x:c>
      <x:c r="R295" s="20" t="str">
        <x:v>file:///root/autodl-tmp/miniwob-plusplus/miniwob/html/miniwob/click-option.html</x:v>
      </x:c>
      <x:c r="S295" s="20" t="str">
        <x:v>Click Option Task</x:v>
      </x:c>
      <x:c r="T295" s="20" t="str">
        <x:v>RootWebArea 'Click Option Task', focused [17] LabelText '', clickable [18] radio 'inYEpKI', clickable, checked='false' StaticText 'inYEpKI' [20] LabelText '', clickable [21] radio '4A2m', clickable, checked='false' StaticText '4A2m' [24] button 'Submit', clickable, focused</x:v>
      </x:c>
      <x:c r="U295" s="6" t="str">
        <x:v>0</x:v>
      </x:c>
      <x:c r="V295" s="6" t="str">
        <x:v>0</x:v>
      </x:c>
      <x:c r="W295" s="6" t="str">
        <x:v>0</x:v>
      </x:c>
      <x:c r="X295" s="6" t="str">
        <x:v>1</x:v>
      </x:c>
      <x:c r="Y295" s="6" t="str">
        <x:v>0</x:v>
      </x:c>
      <x:c r="Z295" s="6" t="str">
        <x:v>1</x:v>
      </x:c>
      <x:c r="AA295" s="6" t="str">
        <x:v>0.0</x:v>
      </x:c>
      <x:c r="AB295" s="20" t="str">
        <x:v>Codex证据复核v1：原始记录唯一匹配、环境实测、反事实配对ID完整、终止且非成功、奖励非正、队列标签与结果派生规则一致；非人工签字。</x:v>
      </x:c>
    </x:row>
    <x:row r="296" ht="46" customHeight="1">
      <x:c r="A296" s="6" t="str">
        <x:v>1</x:v>
      </x:c>
      <x:c r="B296" s="6" t="str">
        <x:v>209fb26b78908d0c5acd</x:v>
      </x:c>
      <x:c r="C296" s="6" t="str">
        <x:v>evidence_approved</x:v>
      </x:c>
      <x:c r="D296" s="6" t="str">
        <x:v>codex-evidence-review-v1</x:v>
      </x:c>
      <x:c r="E296" s="22" t="n">
        <x:v>46244.40206471065</x:v>
      </x:c>
      <x:c r="F296" s="6" t="str">
        <x:v>20</x:v>
      </x:c>
      <x:c r="G296" s="20" t="str">
        <x:v>observed_counterfactual;severe_failure;terminal</x:v>
      </x:c>
      <x:c r="H296" s="20" t="str">
        <x:v>browsergym/miniwob.scroll-text</x:v>
      </x:c>
      <x:c r="I296" s="6" t="str">
        <x:v>browsergym/miniwob.scroll-text</x:v>
      </x:c>
      <x:c r="J296" s="6" t="str">
        <x:v>cf-scroll-text-seed1037-hard_wrong_target</x:v>
      </x:c>
      <x:c r="K296" s="6" t="str">
        <x:v>0</x:v>
      </x:c>
      <x:c r="L296" s="20" t="str">
        <x:v>Find the last word in the text area, enter it into the text field and hit Submit.</x:v>
      </x:c>
      <x:c r="M296" s="20" t="str">
        <x:v>click("15", "left")</x:v>
      </x:c>
      <x:c r="N296" s="6" t="str">
        <x:v>0.0</x:v>
      </x:c>
      <x:c r="O296" s="20" t="str">
        <x:v>file:///root/autodl-tmp/miniwob-plusplus/miniwob/html/miniwob/scroll-text.html</x:v>
      </x:c>
      <x:c r="P296" s="20" t="str">
        <x:v>Scroll Text Task</x:v>
      </x:c>
      <x:c r="Q296" s="20" t="str">
        <x:v>RootWebArea 'Scroll Text Task', focused [13] textbox '' value='Proin massa. Pellentesque consequat, nulla adipiscing. Duis cras augue ut viverra fames tortor. Sit nunc faucibus scelerisque vitae eu, eget praesent lorem ullamcorper. In sit duis. Porttitor commodo. Nullam ac ut ac at cras tortor, cras condimentum gravida venenatis tempor, id porttitor venenatis in et vitae in eleifend odio aliquet sit tortor vel consectetur. Fames. Elementum. Amet. A tempor interdum. Ipsum sodales urna,. Quis.' StaticText 'Proin massa. Pellentesque consequat, nulla adipiscing. Duis cras augue ut viverra fames tortor. Sit nunc faucibus scelerisque vitae eu, eget praesent lorem ullamcorper. In sit duis. Porttitor commodo. Nullam ac ut ac at cras tortor, cras condimentum gravida venenatis tempor, id porttitor venenatis in et vitae in eleifend odio aliquet sit tortor vel consectetur. Fames. Elementum. Amet. A…</x:v>
      </x:c>
      <x:c r="R296" s="20" t="str">
        <x:v>file:///root/autodl-tmp/miniwob-plusplus/miniwob/html/miniwob/scroll-text.html</x:v>
      </x:c>
      <x:c r="S296" s="20" t="str">
        <x:v>Scroll Text Task</x:v>
      </x:c>
      <x:c r="T296" s="20" t="str">
        <x:v>RootWebArea 'Scroll Text Task', focused [13] textbox '' value='Proin massa. Pellentesque consequat, nulla adipiscing. Duis cras augue ut viverra fames tortor. Sit nunc faucibus scelerisque vitae eu, eget praesent lorem ullamcorper. In sit duis. Porttitor commodo. Nullam ac ut ac at cras tortor, cras condimentum gravida venenatis tempor, id porttitor venenatis in et vitae in eleifend odio aliquet sit tortor vel consectetur. Fames. Elementum. Amet. A tempor interdum. Ipsum sodales urna,. Quis.' StaticText 'Proin massa. Pellentesque consequat, nulla adipiscing. Duis cras augue ut viverra fames tortor. Sit nunc faucibus scelerisque vitae eu, eget praesent lorem ullamcorper. In sit duis. Porttitor commodo. Nullam ac ut ac at cras tortor, cras condimentum gravida venenatis tempor, id porttitor venenatis in et vitae in eleifend odio aliquet sit tortor vel consectetur. Fames. Elementum. Amet. A…</x:v>
      </x:c>
      <x:c r="U296" s="6" t="str">
        <x:v>0</x:v>
      </x:c>
      <x:c r="V296" s="6" t="str">
        <x:v>0</x:v>
      </x:c>
      <x:c r="W296" s="6" t="str">
        <x:v>0</x:v>
      </x:c>
      <x:c r="X296" s="6" t="str">
        <x:v>1</x:v>
      </x:c>
      <x:c r="Y296" s="6" t="str">
        <x:v>0</x:v>
      </x:c>
      <x:c r="Z296" s="6" t="str">
        <x:v>1</x:v>
      </x:c>
      <x:c r="AA296" s="6" t="str">
        <x:v>0.0</x:v>
      </x:c>
      <x:c r="AB296" s="20" t="str">
        <x:v>Codex证据复核v1：原始记录唯一匹配、环境实测、反事实配对ID完整、终止且非成功、奖励非正、队列标签与结果派生规则一致；非人工签字。</x:v>
      </x:c>
    </x:row>
    <x:row r="297" ht="46" customHeight="1">
      <x:c r="A297" s="6" t="str">
        <x:v>1</x:v>
      </x:c>
      <x:c r="B297" s="6" t="str">
        <x:v>470f26f9786eac3d99ef</x:v>
      </x:c>
      <x:c r="C297" s="6" t="str">
        <x:v>evidence_approved</x:v>
      </x:c>
      <x:c r="D297" s="6" t="str">
        <x:v>codex-evidence-review-v1</x:v>
      </x:c>
      <x:c r="E297" s="22" t="n">
        <x:v>46244.40206471065</x:v>
      </x:c>
      <x:c r="F297" s="6" t="str">
        <x:v>20</x:v>
      </x:c>
      <x:c r="G297" s="20" t="str">
        <x:v>observed_counterfactual;severe_failure;terminal</x:v>
      </x:c>
      <x:c r="H297" s="20" t="str">
        <x:v>browsergym/miniwob.scroll-text</x:v>
      </x:c>
      <x:c r="I297" s="6" t="str">
        <x:v>browsergym/miniwob.scroll-text</x:v>
      </x:c>
      <x:c r="J297" s="6" t="str">
        <x:v>cf-scroll-text-seed1030-hard_wrong_target</x:v>
      </x:c>
      <x:c r="K297" s="6" t="str">
        <x:v>0</x:v>
      </x:c>
      <x:c r="L297" s="20" t="str">
        <x:v>Find the last word in the text area, enter it into the text field and hit Submit.</x:v>
      </x:c>
      <x:c r="M297" s="20" t="str">
        <x:v>click("15", "left")</x:v>
      </x:c>
      <x:c r="N297" s="6" t="str">
        <x:v>0.0</x:v>
      </x:c>
      <x:c r="O297" s="20" t="str">
        <x:v>file:///root/autodl-tmp/miniwob-plusplus/miniwob/html/miniwob/scroll-text.html</x:v>
      </x:c>
      <x:c r="P297" s="20" t="str">
        <x:v>Scroll Text Task</x:v>
      </x:c>
      <x:c r="Q297" s="20" t="str">
        <x:v>RootWebArea 'Scroll Text Task', focused [13] textbox '' value='Vitae. Condimentum. Dictum arcu ornare nibh tristique eget vivamus purus eu interdum adipiscing cras nulla adipiscing amet ullamcorper dui lacus, viverra viverra eget aenean justo, ut vel viverra imperdiet. Vulputate imperdiet id vitae amet. Phasellus. Et viverra vel. Porta aenean quis malesuada. Non mauris. Senectus. Ornare mauris, nulla. Enim quis a. Aliquet.' StaticText 'Vitae. Condimentum. Dictum arcu ornare nibh tristique eget vivamus purus eu interdum adipiscing cras nulla adipiscing amet ullamcorper dui lacus, viverra viverra eget aenean justo, ut vel viverra imperdiet. Vulputate imperdiet id vitae amet. Phasellus. Et viverra vel. Porta aenean quis malesuada. Non mauris. Senectus. Ornare mauris, nulla. Enim quis a. Aliquet.' [14] textbox '', clickable [15] button 'Submit', clickable</x:v>
      </x:c>
      <x:c r="R297" s="20" t="str">
        <x:v>file:///root/autodl-tmp/miniwob-plusplus/miniwob/html/miniwob/scroll-text.html</x:v>
      </x:c>
      <x:c r="S297" s="20" t="str">
        <x:v>Scroll Text Task</x:v>
      </x:c>
      <x:c r="T297" s="20" t="str">
        <x:v>RootWebArea 'Scroll Text Task', focused [13] textbox '' value='Vitae. Condimentum. Dictum arcu ornare nibh tristique eget vivamus purus eu interdum adipiscing cras nulla adipiscing amet ullamcorper dui lacus, viverra viverra eget aenean justo, ut vel viverra imperdiet. Vulputate imperdiet id vitae amet. Phasellus. Et viverra vel. Porta aenean quis malesuada. Non mauris. Senectus. Ornare mauris, nulla. Enim quis a. Aliquet.' StaticText 'Vitae. Condimentum. Dictum arcu ornare nibh tristique eget vivamus purus eu interdum adipiscing cras nulla adipiscing amet ullamcorper dui lacus, viverra viverra eget aenean justo, ut vel viverra imperdiet. Vulputate imperdiet id vitae amet. Phasellus. Et viverra vel. Porta aenean quis malesuada. Non mauris. Senectus. Ornare mauris, nulla. Enim quis a. Aliquet.' [14] textbox '', clickable [15] button 'Submit', clickable, focused</x:v>
      </x:c>
      <x:c r="U297" s="6" t="str">
        <x:v>0</x:v>
      </x:c>
      <x:c r="V297" s="6" t="str">
        <x:v>0</x:v>
      </x:c>
      <x:c r="W297" s="6" t="str">
        <x:v>0</x:v>
      </x:c>
      <x:c r="X297" s="6" t="str">
        <x:v>1</x:v>
      </x:c>
      <x:c r="Y297" s="6" t="str">
        <x:v>0</x:v>
      </x:c>
      <x:c r="Z297" s="6" t="str">
        <x:v>1</x:v>
      </x:c>
      <x:c r="AA297" s="6" t="str">
        <x:v>0.0</x:v>
      </x:c>
      <x:c r="AB297" s="20" t="str">
        <x:v>Codex证据复核v1：原始记录唯一匹配、环境实测、反事实配对ID完整、终止且非成功、奖励非正、队列标签与结果派生规则一致；非人工签字。</x:v>
      </x:c>
    </x:row>
    <x:row r="298" ht="46" customHeight="1">
      <x:c r="A298" s="6" t="str">
        <x:v>1</x:v>
      </x:c>
      <x:c r="B298" s="6" t="str">
        <x:v>caef2f9d1c4257b4703e</x:v>
      </x:c>
      <x:c r="C298" s="6" t="str">
        <x:v>evidence_approved</x:v>
      </x:c>
      <x:c r="D298" s="6" t="str">
        <x:v>codex-evidence-review-v1</x:v>
      </x:c>
      <x:c r="E298" s="22" t="n">
        <x:v>46244.40206471065</x:v>
      </x:c>
      <x:c r="F298" s="6" t="str">
        <x:v>20</x:v>
      </x:c>
      <x:c r="G298" s="20" t="str">
        <x:v>observed_counterfactual;severe_failure;terminal</x:v>
      </x:c>
      <x:c r="H298" s="20" t="str">
        <x:v>browsergym/miniwob.click-menu</x:v>
      </x:c>
      <x:c r="I298" s="6" t="str">
        <x:v>browsergym/miniwob.click-menu</x:v>
      </x:c>
      <x:c r="J298" s="6" t="str">
        <x:v>cf-click-menu-seed1017-missing_target</x:v>
      </x:c>
      <x:c r="K298" s="6" t="str">
        <x:v>0</x:v>
      </x:c>
      <x:c r="L298" s="20" t="str">
        <x:v>Select Lida&gt;Bobbette&gt;Matilda</x:v>
      </x:c>
      <x:c r="M298" s="20" t="str">
        <x:v>click("21", "left")</x:v>
      </x:c>
      <x:c r="N298" s="6" t="str">
        <x:v>0.0</x:v>
      </x:c>
      <x:c r="O298" s="20" t="str">
        <x:v>file:///root/autodl-tmp/miniwob-plusplus/miniwob/html/miniwob/click-menu.html</x:v>
      </x:c>
      <x:c r="P298" s="20" t="str">
        <x:v>Click Menu Task</x:v>
      </x:c>
      <x:c r="Q298" s="20" t="str">
        <x:v>RootWebArea 'Click Menu Task', focused [17] menu '', clickable, orientation='vertical' image '' [19] menuitem 'Dodie' image '' [21] menuitem 'Lida', hasPopup='menu'</x:v>
      </x:c>
      <x:c r="R298" s="20" t="str">
        <x:v>file:///root/autodl-tmp/miniwob-plusplus/miniwob/html/miniwob/click-menu.html</x:v>
      </x:c>
      <x:c r="S298" s="20" t="str">
        <x:v>Click Menu Task</x:v>
      </x:c>
      <x:c r="T298" s="20" t="str">
        <x:v>RootWebArea 'Click Menu Task', focused [17] menu '', clickable, orientation='vertical' image '' [19] menuitem 'Dodie' image '' [21] menuitem 'Lida', hasPopup='menu' [23] menu '', orientation='vertical' image '' [25] menuitem 'Juliette', hasPopup='menu' image '' [33] menuitem 'Bobbette', hasPopup='menu' image '' [43] menuitem 'Modestia', hasPopup='menu'</x:v>
      </x:c>
      <x:c r="U298" s="6" t="str">
        <x:v>0</x:v>
      </x:c>
      <x:c r="V298" s="6" t="str">
        <x:v>0</x:v>
      </x:c>
      <x:c r="W298" s="6" t="str">
        <x:v>0</x:v>
      </x:c>
      <x:c r="X298" s="6" t="str">
        <x:v>1</x:v>
      </x:c>
      <x:c r="Y298" s="6" t="str">
        <x:v>0</x:v>
      </x:c>
      <x:c r="Z298" s="6" t="str">
        <x:v>1</x:v>
      </x:c>
      <x:c r="AA298" s="6" t="str">
        <x:v>0.0</x:v>
      </x:c>
      <x:c r="AB298" s="20" t="str">
        <x:v>Codex证据复核v1：原始记录唯一匹配、环境实测、反事实配对ID完整、终止且非成功、奖励非正、队列标签与结果派生规则一致；非人工签字。</x:v>
      </x:c>
    </x:row>
    <x:row r="299" ht="46" customHeight="1">
      <x:c r="A299" s="6" t="str">
        <x:v>1</x:v>
      </x:c>
      <x:c r="B299" s="6" t="str">
        <x:v>228721d64c628dba6cb1</x:v>
      </x:c>
      <x:c r="C299" s="6" t="str">
        <x:v>evidence_approved</x:v>
      </x:c>
      <x:c r="D299" s="6" t="str">
        <x:v>codex-evidence-review-v1</x:v>
      </x:c>
      <x:c r="E299" s="22" t="n">
        <x:v>46244.40206471065</x:v>
      </x:c>
      <x:c r="F299" s="6" t="str">
        <x:v>20</x:v>
      </x:c>
      <x:c r="G299" s="20" t="str">
        <x:v>observed_counterfactual;severe_failure;terminal</x:v>
      </x:c>
      <x:c r="H299" s="20" t="str">
        <x:v>browsergym/miniwob.click-collapsible</x:v>
      </x:c>
      <x:c r="I299" s="6" t="str">
        <x:v>browsergym/miniwob.click-collapsible</x:v>
      </x:c>
      <x:c r="J299" s="6" t="str">
        <x:v>cf-click-collapsible-seed1035-hard_wrong_target</x:v>
      </x:c>
      <x:c r="K299" s="6" t="str">
        <x:v>0</x:v>
      </x:c>
      <x:c r="L299" s="20" t="str">
        <x:v>Expand the section below and click submit.</x:v>
      </x:c>
      <x:c r="M299" s="20" t="str">
        <x:v>click("19", "left")</x:v>
      </x:c>
      <x:c r="N299" s="6" t="str">
        <x:v>0.0</x:v>
      </x:c>
      <x:c r="O299" s="20" t="str">
        <x:v>file:///root/autodl-tmp/miniwob-plusplus/miniwob/html/miniwob/click-collapsible.html</x:v>
      </x:c>
      <x:c r="P299" s="20" t="str">
        <x:v>Click Collapsible Task</x:v>
      </x:c>
      <x:c r="Q299" s="20" t="str">
        <x:v>RootWebArea 'Click Collapsible Task', focused [15] tablist '', multiselectable=False, orientation='horizontal' [16] tab 'Section #27', clickable, expanded=False, selected=False, controls='ui-id-2' [19] tab 'Submit', clickable, expanded=False, selected=False [22] button 'Submit', clickable</x:v>
      </x:c>
      <x:c r="R299" s="20" t="str">
        <x:v>file:///root/autodl-tmp/miniwob-plusplus/miniwob/html/miniwob/click-collapsible.html</x:v>
      </x:c>
      <x:c r="S299" s="20" t="str">
        <x:v>Click Collapsible Task</x:v>
      </x:c>
      <x:c r="T299" s="20" t="str">
        <x:v>RootWebArea 'Click Collapsible Task', focused [15] tablist '', multiselectable=False, orientation='horizontal' [16] tab 'Section #27', clickable, expanded=False, selected=False, controls='ui-id-2' [19] tab 'Submit', clickable, expanded=False, selected=False [22] button 'Submit', clickable, focused</x:v>
      </x:c>
      <x:c r="U299" s="6" t="str">
        <x:v>0</x:v>
      </x:c>
      <x:c r="V299" s="6" t="str">
        <x:v>0</x:v>
      </x:c>
      <x:c r="W299" s="6" t="str">
        <x:v>0</x:v>
      </x:c>
      <x:c r="X299" s="6" t="str">
        <x:v>1</x:v>
      </x:c>
      <x:c r="Y299" s="6" t="str">
        <x:v>0</x:v>
      </x:c>
      <x:c r="Z299" s="6" t="str">
        <x:v>1</x:v>
      </x:c>
      <x:c r="AA299" s="6" t="str">
        <x:v>0.0</x:v>
      </x:c>
      <x:c r="AB299" s="20" t="str">
        <x:v>Codex证据复核v1：原始记录唯一匹配、环境实测、反事实配对ID完整、终止且非成功、奖励非正、队列标签与结果派生规则一致；非人工签字。</x:v>
      </x:c>
    </x:row>
    <x:row r="300" ht="46" customHeight="1">
      <x:c r="A300" s="6" t="str">
        <x:v>1</x:v>
      </x:c>
      <x:c r="B300" s="6" t="str">
        <x:v>8e989737cd5a0add5dcb</x:v>
      </x:c>
      <x:c r="C300" s="6" t="str">
        <x:v>evidence_approved</x:v>
      </x:c>
      <x:c r="D300" s="6" t="str">
        <x:v>codex-evidence-review-v1</x:v>
      </x:c>
      <x:c r="E300" s="22" t="n">
        <x:v>46244.40206471065</x:v>
      </x:c>
      <x:c r="F300" s="6" t="str">
        <x:v>20</x:v>
      </x:c>
      <x:c r="G300" s="20" t="str">
        <x:v>observed_counterfactual;severe_failure;terminal</x:v>
      </x:c>
      <x:c r="H300" s="20" t="str">
        <x:v>browsergym/miniwob.choose-list</x:v>
      </x:c>
      <x:c r="I300" s="6" t="str">
        <x:v>browsergym/miniwob.choose-list</x:v>
      </x:c>
      <x:c r="J300" s="6" t="str">
        <x:v>cf-choose-list-seed1028-missing_target</x:v>
      </x:c>
      <x:c r="K300" s="6" t="str">
        <x:v>0</x:v>
      </x:c>
      <x:c r="L300" s="20" t="str">
        <x:v>Select Sint Maarten from the list and click Submit.</x:v>
      </x:c>
      <x:c r="M300" s="20" t="str">
        <x:v>click("19", "left")</x:v>
      </x:c>
      <x:c r="N300" s="6" t="str">
        <x:v>0.0</x:v>
      </x:c>
      <x:c r="O300" s="20" t="str">
        <x:v>file:///root/autodl-tmp/miniwob-plusplus/miniwob/html/miniwob/choose-list.html</x:v>
      </x:c>
      <x:c r="P300" s="20" t="str">
        <x:v>Choose List Task</x:v>
      </x:c>
      <x:c r="Q300" s="20" t="str">
        <x:v>RootWebArea 'Choose List Task', focused [13] combobox '' value='Japan', hasPopup='menu', expanded=False [19] button 'Submit', clickable</x:v>
      </x:c>
      <x:c r="R300" s="20" t="str">
        <x:v>file:///root/autodl-tmp/miniwob-plusplus/miniwob/html/miniwob/choose-list.html</x:v>
      </x:c>
      <x:c r="S300" s="20" t="str">
        <x:v>Choose List Task</x:v>
      </x:c>
      <x:c r="T300" s="20" t="str">
        <x:v>RootWebArea 'Choose List Task', focused [13] combobox '' value='Japan', hasPopup='menu', expanded=False [19] button 'Submit', clickable, focused</x:v>
      </x:c>
      <x:c r="U300" s="6" t="str">
        <x:v>0</x:v>
      </x:c>
      <x:c r="V300" s="6" t="str">
        <x:v>0</x:v>
      </x:c>
      <x:c r="W300" s="6" t="str">
        <x:v>0</x:v>
      </x:c>
      <x:c r="X300" s="6" t="str">
        <x:v>1</x:v>
      </x:c>
      <x:c r="Y300" s="6" t="str">
        <x:v>0</x:v>
      </x:c>
      <x:c r="Z300" s="6" t="str">
        <x:v>1</x:v>
      </x:c>
      <x:c r="AA300" s="6" t="str">
        <x:v>0.0</x:v>
      </x:c>
      <x:c r="AB300" s="20" t="str">
        <x:v>Codex证据复核v1：原始记录唯一匹配、环境实测、反事实配对ID完整、终止且非成功、奖励非正、队列标签与结果派生规则一致；非人工签字。</x:v>
      </x:c>
    </x:row>
    <x:row r="301" ht="46" customHeight="1">
      <x:c r="A301" s="6" t="str">
        <x:v>1</x:v>
      </x:c>
      <x:c r="B301" s="6" t="str">
        <x:v>952428e85e14e54404a0</x:v>
      </x:c>
      <x:c r="C301" s="6" t="str">
        <x:v>evidence_approved</x:v>
      </x:c>
      <x:c r="D301" s="6" t="str">
        <x:v>codex-evidence-review-v1</x:v>
      </x:c>
      <x:c r="E301" s="22" t="n">
        <x:v>46244.40206471065</x:v>
      </x:c>
      <x:c r="F301" s="6" t="str">
        <x:v>20</x:v>
      </x:c>
      <x:c r="G301" s="20" t="str">
        <x:v>observed_counterfactual;severe_failure;terminal</x:v>
      </x:c>
      <x:c r="H301" s="20" t="str">
        <x:v>browsergym/miniwob.click-scroll-list</x:v>
      </x:c>
      <x:c r="I301" s="6" t="str">
        <x:v>browsergym/miniwob.click-scroll-list</x:v>
      </x:c>
      <x:c r="J301" s="6" t="str">
        <x:v>cf-click-scroll-list-seed1038-hard_wrong_target</x:v>
      </x:c>
      <x:c r="K301" s="6" t="str">
        <x:v>0</x:v>
      </x:c>
      <x:c r="L301" s="20" t="str">
        <x:v>Select Tunisia, China from the scroll list and click Submit.</x:v>
      </x:c>
      <x:c r="M301" s="20" t="str">
        <x:v>click("22", "left")</x:v>
      </x:c>
      <x:c r="N301" s="6" t="str">
        <x:v>0.0</x:v>
      </x:c>
      <x:c r="O301" s="20" t="str">
        <x:v>file:///root/autodl-tmp/miniwob-plusplus/miniwob/html/miniwob/click-scroll-list.html</x:v>
      </x:c>
      <x:c r="P301" s="20" t="str">
        <x:v>Choose List Task</x:v>
      </x:c>
      <x:c r="Q301" s="20" t="str">
        <x:v>RootWebArea 'Choose List Task', focused [13] listbox '', multiselectable=True, orientation='vertical' [14] option '', selected=False [15] option '', selected=False [16] option '', selected=False [17] option '', selected=False [18] option '', selected=False [22] button 'Submit', clickable</x:v>
      </x:c>
      <x:c r="R301" s="20" t="str">
        <x:v>file:///root/autodl-tmp/miniwob-plusplus/miniwob/html/miniwob/click-scroll-list.html</x:v>
      </x:c>
      <x:c r="S301" s="20" t="str">
        <x:v>Choose List Task</x:v>
      </x:c>
      <x:c r="T301" s="20" t="str">
        <x:v>RootWebArea 'Choose List Task', focused [13] listbox '', multiselectable=True, orientation='vertical' [14] option '', selected=False [15] option '', selected=False [16] option '', selected=False [17] option '', selected=False [18] option '', selected=False [22] button 'Submit', clickable, focused</x:v>
      </x:c>
      <x:c r="U301" s="6" t="str">
        <x:v>0</x:v>
      </x:c>
      <x:c r="V301" s="6" t="str">
        <x:v>0</x:v>
      </x:c>
      <x:c r="W301" s="6" t="str">
        <x:v>0</x:v>
      </x:c>
      <x:c r="X301" s="6" t="str">
        <x:v>1</x:v>
      </x:c>
      <x:c r="Y301" s="6" t="str">
        <x:v>0</x:v>
      </x:c>
      <x:c r="Z301" s="6" t="str">
        <x:v>1</x:v>
      </x:c>
      <x:c r="AA301" s="6" t="str">
        <x:v>0.0</x:v>
      </x:c>
      <x:c r="AB301" s="20" t="str">
        <x:v>Codex证据复核v1：原始记录唯一匹配、环境实测、反事实配对ID完整、终止且非成功、奖励非正、队列标签与结果派生规则一致；非人工签字。</x:v>
      </x:c>
    </x:row>
    <x:row r="302" ht="46" customHeight="1">
      <x:c r="A302" s="6" t="str">
        <x:v>1</x:v>
      </x:c>
      <x:c r="B302" s="6" t="str">
        <x:v>63d820f826562840775f</x:v>
      </x:c>
      <x:c r="C302" s="6" t="str">
        <x:v>evidence_approved</x:v>
      </x:c>
      <x:c r="D302" s="6" t="str">
        <x:v>codex-evidence-review-v1</x:v>
      </x:c>
      <x:c r="E302" s="22" t="n">
        <x:v>46244.40206471065</x:v>
      </x:c>
      <x:c r="F302" s="6" t="str">
        <x:v>20</x:v>
      </x:c>
      <x:c r="G302" s="20" t="str">
        <x:v>observed_counterfactual;severe_failure;terminal</x:v>
      </x:c>
      <x:c r="H302" s="20" t="str">
        <x:v>browsergym/miniwob.click-test-2</x:v>
      </x:c>
      <x:c r="I302" s="6" t="str">
        <x:v>browsergym/miniwob.click-test-2</x:v>
      </x:c>
      <x:c r="J302" s="6" t="str">
        <x:v>cf-click-test-2-seed1035-hard_wrong_target</x:v>
      </x:c>
      <x:c r="K302" s="6" t="str">
        <x:v>0</x:v>
      </x:c>
      <x:c r="L302" s="20" t="str">
        <x:v>Click button ONE.</x:v>
      </x:c>
      <x:c r="M302" s="20" t="str">
        <x:v>click("14", "left")</x:v>
      </x:c>
      <x:c r="N302" s="6" t="str">
        <x:v>0.0</x:v>
      </x:c>
      <x:c r="O302" s="20" t="str">
        <x:v>file:///root/autodl-tmp/miniwob-plusplus/miniwob/html/miniwob/click-test-2.html</x:v>
      </x:c>
      <x:c r="P302" s="20" t="str">
        <x:v>Click Test Task</x:v>
      </x:c>
      <x:c r="Q302" s="20" t="str">
        <x:v>RootWebArea 'Click Test Task', focused [13] button 'ONE', clickable [14] button 'TWO', clickable</x:v>
      </x:c>
      <x:c r="R302" s="20" t="str">
        <x:v>file:///root/autodl-tmp/miniwob-plusplus/miniwob/html/miniwob/click-test-2.html</x:v>
      </x:c>
      <x:c r="S302" s="20" t="str">
        <x:v>Click Test Task</x:v>
      </x:c>
      <x:c r="T302" s="20" t="str">
        <x:v>RootWebArea 'Click Test Task', focused [13] button 'ONE', clickable [14] button 'TWO', clickable, focused</x:v>
      </x:c>
      <x:c r="U302" s="6" t="str">
        <x:v>0</x:v>
      </x:c>
      <x:c r="V302" s="6" t="str">
        <x:v>0</x:v>
      </x:c>
      <x:c r="W302" s="6" t="str">
        <x:v>0</x:v>
      </x:c>
      <x:c r="X302" s="6" t="str">
        <x:v>1</x:v>
      </x:c>
      <x:c r="Y302" s="6" t="str">
        <x:v>0</x:v>
      </x:c>
      <x:c r="Z302" s="6" t="str">
        <x:v>1</x:v>
      </x:c>
      <x:c r="AA302" s="6" t="str">
        <x:v>0.0</x:v>
      </x:c>
      <x:c r="AB302" s="20" t="str">
        <x:v>Codex证据复核v1：原始记录唯一匹配、环境实测、反事实配对ID完整、终止且非成功、奖励非正、队列标签与结果派生规则一致；非人工签字。</x:v>
      </x:c>
    </x:row>
    <x:row r="303" ht="46" customHeight="1">
      <x:c r="A303" s="6" t="str">
        <x:v>1</x:v>
      </x:c>
      <x:c r="B303" s="6" t="str">
        <x:v>bc6001c247e2631d0993</x:v>
      </x:c>
      <x:c r="C303" s="6" t="str">
        <x:v>evidence_approved</x:v>
      </x:c>
      <x:c r="D303" s="6" t="str">
        <x:v>codex-evidence-review-v1</x:v>
      </x:c>
      <x:c r="E303" s="22" t="n">
        <x:v>46244.40206471065</x:v>
      </x:c>
      <x:c r="F303" s="6" t="str">
        <x:v>20</x:v>
      </x:c>
      <x:c r="G303" s="20" t="str">
        <x:v>observed_counterfactual;severe_failure;terminal</x:v>
      </x:c>
      <x:c r="H303" s="20" t="str">
        <x:v>browsergym/miniwob.enter-password</x:v>
      </x:c>
      <x:c r="I303" s="6" t="str">
        <x:v>browsergym/miniwob.enter-password</x:v>
      </x:c>
      <x:c r="J303" s="6" t="str">
        <x:v>cf-enter-password-seed1038-hard_wrong_target</x:v>
      </x:c>
      <x:c r="K303" s="6" t="str">
        <x:v>0</x:v>
      </x:c>
      <x:c r="L303" s="20" t="str">
        <x:v>Enter the password "nVIh" into both text fields and press submit.</x:v>
      </x:c>
      <x:c r="M303" s="20" t="str">
        <x:v>click("20", "left")</x:v>
      </x:c>
      <x:c r="N303" s="6" t="str">
        <x:v>0.0</x:v>
      </x:c>
      <x:c r="O303" s="20" t="str">
        <x:v>file:///root/autodl-tmp/miniwob-plusplus/miniwob/html/miniwob/enter-password.html</x:v>
      </x:c>
      <x:c r="P303" s="20" t="str">
        <x:v>Enter Password Task</x:v>
      </x:c>
      <x:c r="Q303" s="20" t="str">
        <x:v>RootWebArea 'Enter Password Task', focused [14] paragraph '' [15] LabelText '' StaticText 'Password' [16] textbox '', clickable [17] paragraph '' [18] LabelText '' StaticText 'Verify password' [19] textbox '', clickable [20] button 'Submit', clickable</x:v>
      </x:c>
      <x:c r="R303" s="20" t="str">
        <x:v>file:///root/autodl-tmp/miniwob-plusplus/miniwob/html/miniwob/enter-password.html</x:v>
      </x:c>
      <x:c r="S303" s="20" t="str">
        <x:v>Enter Password Task</x:v>
      </x:c>
      <x:c r="T303" s="20" t="str">
        <x:v>RootWebArea 'Enter Password Task', focused [14] paragraph '' [15] LabelText '' StaticText 'Password' [16] textbox '', clickable [17] paragraph '' [18] LabelText '' StaticText 'Verify password' [19] textbox '', clickable [20] button 'Submit', clickable, focused</x:v>
      </x:c>
      <x:c r="U303" s="6" t="str">
        <x:v>0</x:v>
      </x:c>
      <x:c r="V303" s="6" t="str">
        <x:v>0</x:v>
      </x:c>
      <x:c r="W303" s="6" t="str">
        <x:v>0</x:v>
      </x:c>
      <x:c r="X303" s="6" t="str">
        <x:v>1</x:v>
      </x:c>
      <x:c r="Y303" s="6" t="str">
        <x:v>0</x:v>
      </x:c>
      <x:c r="Z303" s="6" t="str">
        <x:v>1</x:v>
      </x:c>
      <x:c r="AA303" s="6" t="str">
        <x:v>0.0</x:v>
      </x:c>
      <x:c r="AB303" s="20" t="str">
        <x:v>Codex证据复核v1：原始记录唯一匹配、环境实测、反事实配对ID完整、终止且非成功、奖励非正、队列标签与结果派生规则一致；非人工签字。</x:v>
      </x:c>
    </x:row>
    <x:row r="304" ht="46" customHeight="1">
      <x:c r="A304" s="6" t="str">
        <x:v>1</x:v>
      </x:c>
      <x:c r="B304" s="6" t="str">
        <x:v>cdd2fc7ec83d708216e8</x:v>
      </x:c>
      <x:c r="C304" s="6" t="str">
        <x:v>evidence_approved</x:v>
      </x:c>
      <x:c r="D304" s="6" t="str">
        <x:v>codex-evidence-review-v1</x:v>
      </x:c>
      <x:c r="E304" s="22" t="n">
        <x:v>46244.40206471065</x:v>
      </x:c>
      <x:c r="F304" s="6" t="str">
        <x:v>20</x:v>
      </x:c>
      <x:c r="G304" s="20" t="str">
        <x:v>observed_counterfactual;severe_failure;terminal</x:v>
      </x:c>
      <x:c r="H304" s="20" t="str">
        <x:v>browsergym/miniwob.click-option</x:v>
      </x:c>
      <x:c r="I304" s="6" t="str">
        <x:v>browsergym/miniwob.click-option</x:v>
      </x:c>
      <x:c r="J304" s="6" t="str">
        <x:v>cf-click-option-seed1013-hard_wrong_target</x:v>
      </x:c>
      <x:c r="K304" s="6" t="str">
        <x:v>0</x:v>
      </x:c>
      <x:c r="L304" s="20" t="str">
        <x:v>Select qpY and click Submit.</x:v>
      </x:c>
      <x:c r="M304" s="20" t="str">
        <x:v>click("33", "left")</x:v>
      </x:c>
      <x:c r="N304" s="6" t="str">
        <x:v>0.0</x:v>
      </x:c>
      <x:c r="O304" s="20" t="str">
        <x:v>file:///root/autodl-tmp/miniwob-plusplus/miniwob/html/miniwob/click-option.html</x:v>
      </x:c>
      <x:c r="P304" s="20" t="str">
        <x:v>Click Option Task</x:v>
      </x:c>
      <x:c r="Q304" s="20" t="str">
        <x:v>RootWebArea 'Click Option Task', focused [17] LabelText '', clickable [18] radio 'qpY', clickable, checked='false' StaticText 'qpY' [20] LabelText '', clickable [21] radio 'Kep', clickable, checked='false' StaticText 'Kep' [23] LabelText '', clickable [24] radio 'orsgisJ', clickable, checked='false' StaticText 'orsgisJ' [26] LabelText '', clickable [27] radio '91BB4', clickable, checked='false' StaticText '91BB4' [29] LabelText '', clickable [30] radio 'sub', clickable, checked='false' StaticText 'sub' [33] button 'Submit', clickable</x:v>
      </x:c>
      <x:c r="R304" s="20" t="str">
        <x:v>file:///root/autodl-tmp/miniwob-plusplus/miniwob/html/miniwob/click-option.html</x:v>
      </x:c>
      <x:c r="S304" s="20" t="str">
        <x:v>Click Option Task</x:v>
      </x:c>
      <x:c r="T304" s="20" t="str">
        <x:v>RootWebArea 'Click Option Task', focused [17] LabelText '', clickable [18] radio 'qpY', clickable, checked='false' StaticText 'qpY' [20] LabelText '', clickable [21] radio 'Kep', clickable, checked='false' StaticText 'Kep' [23] LabelText '', clickable [24] radio 'orsgisJ', clickable, checked='false' StaticText 'orsgisJ' [26] LabelText '', clickable [27] radio '91BB4', clickable, checked='false' StaticText '91BB4' [29] LabelText '', clickable [30] radio 'sub', clickable, checked='false' StaticText 'sub' [33] button 'Submit', clickable, focused</x:v>
      </x:c>
      <x:c r="U304" s="6" t="str">
        <x:v>0</x:v>
      </x:c>
      <x:c r="V304" s="6" t="str">
        <x:v>0</x:v>
      </x:c>
      <x:c r="W304" s="6" t="str">
        <x:v>0</x:v>
      </x:c>
      <x:c r="X304" s="6" t="str">
        <x:v>1</x:v>
      </x:c>
      <x:c r="Y304" s="6" t="str">
        <x:v>0</x:v>
      </x:c>
      <x:c r="Z304" s="6" t="str">
        <x:v>1</x:v>
      </x:c>
      <x:c r="AA304" s="6" t="str">
        <x:v>0.0</x:v>
      </x:c>
      <x:c r="AB304" s="20" t="str">
        <x:v>Codex证据复核v1：原始记录唯一匹配、环境实测、反事实配对ID完整、终止且非成功、奖励非正、队列标签与结果派生规则一致；非人工签字。</x:v>
      </x:c>
    </x:row>
    <x:row r="305" ht="46" customHeight="1">
      <x:c r="A305" s="6" t="str">
        <x:v>1</x:v>
      </x:c>
      <x:c r="B305" s="6" t="str">
        <x:v>4b783ee34c84e4219128</x:v>
      </x:c>
      <x:c r="C305" s="6" t="str">
        <x:v>evidence_approved</x:v>
      </x:c>
      <x:c r="D305" s="6" t="str">
        <x:v>codex-evidence-review-v1</x:v>
      </x:c>
      <x:c r="E305" s="22" t="n">
        <x:v>46244.40206471065</x:v>
      </x:c>
      <x:c r="F305" s="6" t="str">
        <x:v>20</x:v>
      </x:c>
      <x:c r="G305" s="20" t="str">
        <x:v>observed_counterfactual;severe_failure;terminal</x:v>
      </x:c>
      <x:c r="H305" s="20" t="str">
        <x:v>browsergym/miniwob.click-widget</x:v>
      </x:c>
      <x:c r="I305" s="6" t="str">
        <x:v>browsergym/miniwob.click-widget</x:v>
      </x:c>
      <x:c r="J305" s="6" t="str">
        <x:v>cf-click-widget-seed1007-missing_target</x:v>
      </x:c>
      <x:c r="K305" s="6" t="str">
        <x:v>0</x:v>
      </x:c>
      <x:c r="L305" s="20" t="str">
        <x:v>Click on a "textarea" widget.</x:v>
      </x:c>
      <x:c r="M305" s="20" t="str">
        <x:v>click("16", "left")</x:v>
      </x:c>
      <x:c r="N305" s="6" t="str">
        <x:v>0.0</x:v>
      </x:c>
      <x:c r="O305" s="20" t="str">
        <x:v>file:///root/autodl-tmp/miniwob-plusplus/miniwob/html/miniwob/click-widget.html</x:v>
      </x:c>
      <x:c r="P305" s="20" t="str">
        <x:v>Click Widget Task</x:v>
      </x:c>
      <x:c r="Q305" s="20" t="str">
        <x:v>RootWebArea 'Click Widget Task', focused [14] textbox '' value='jr' StaticText 'jr' [16] button 'K' [18] textbox '' value='QwRla', clickable StaticText 'QwRla' [20] LabelText '', clickable [21] checkbox '8', clickable, checked='false' StaticText '8' [23] textbox '' value='o9Pj' StaticText 'o9Pj'</x:v>
      </x:c>
      <x:c r="R305" s="20" t="str">
        <x:v>file:///root/autodl-tmp/miniwob-plusplus/miniwob/html/miniwob/click-widget.html</x:v>
      </x:c>
      <x:c r="S305" s="20" t="str">
        <x:v>Click Widget Task</x:v>
      </x:c>
      <x:c r="T305" s="20" t="str">
        <x:v>RootWebArea 'Click Widget Task', focused [14] textbox '' value='jr' StaticText 'jr' [16] button 'K', focused [18] textbox '' value='QwRla', clickable StaticText 'QwRla' [20] LabelText '', clickable [21] checkbox '8', clickable, checked='false' StaticText '8' [23] textbox '' value='o9Pj' StaticText 'o9Pj'</x:v>
      </x:c>
      <x:c r="U305" s="6" t="str">
        <x:v>0</x:v>
      </x:c>
      <x:c r="V305" s="6" t="str">
        <x:v>0</x:v>
      </x:c>
      <x:c r="W305" s="6" t="str">
        <x:v>0</x:v>
      </x:c>
      <x:c r="X305" s="6" t="str">
        <x:v>1</x:v>
      </x:c>
      <x:c r="Y305" s="6" t="str">
        <x:v>0</x:v>
      </x:c>
      <x:c r="Z305" s="6" t="str">
        <x:v>1</x:v>
      </x:c>
      <x:c r="AA305" s="6" t="str">
        <x:v>0.0</x:v>
      </x:c>
      <x:c r="AB305" s="20" t="str">
        <x:v>Codex证据复核v1：原始记录唯一匹配、环境实测、反事实配对ID完整、终止且非成功、奖励非正、队列标签与结果派生规则一致；非人工签字。</x:v>
      </x:c>
    </x:row>
    <x:row r="306" ht="46" customHeight="1">
      <x:c r="A306" s="6" t="str">
        <x:v>1</x:v>
      </x:c>
      <x:c r="B306" s="6" t="str">
        <x:v>fca55156932dc8dc23ff</x:v>
      </x:c>
      <x:c r="C306" s="6" t="str">
        <x:v>evidence_approved</x:v>
      </x:c>
      <x:c r="D306" s="6" t="str">
        <x:v>codex-evidence-review-v1</x:v>
      </x:c>
      <x:c r="E306" s="22" t="n">
        <x:v>46244.40206471065</x:v>
      </x:c>
      <x:c r="F306" s="6" t="str">
        <x:v>20</x:v>
      </x:c>
      <x:c r="G306" s="20" t="str">
        <x:v>observed_counterfactual;severe_failure;terminal</x:v>
      </x:c>
      <x:c r="H306" s="20" t="str">
        <x:v>browsergym/miniwob.click-menu</x:v>
      </x:c>
      <x:c r="I306" s="6" t="str">
        <x:v>browsergym/miniwob.click-menu</x:v>
      </x:c>
      <x:c r="J306" s="6" t="str">
        <x:v>cf-click-menu-seed1002-wrong_action_type</x:v>
      </x:c>
      <x:c r="K306" s="6" t="str">
        <x:v>0</x:v>
      </x:c>
      <x:c r="L306" s="20" t="str">
        <x:v>Select Susann&gt;Kali&gt;Alta</x:v>
      </x:c>
      <x:c r="M306" s="20" t="str">
        <x:v>click("37", "left")</x:v>
      </x:c>
      <x:c r="N306" s="6" t="str">
        <x:v>0.0</x:v>
      </x:c>
      <x:c r="O306" s="20" t="str">
        <x:v>file:///root/autodl-tmp/miniwob-plusplus/miniwob/html/miniwob/click-menu.html</x:v>
      </x:c>
      <x:c r="P306" s="20" t="str">
        <x:v>Click Menu Task</x:v>
      </x:c>
      <x:c r="Q306" s="20" t="str">
        <x:v>RootWebArea 'Click Menu Task', focused [17] menu '', clickable, orientation='vertical' image '' [19] menuitem 'Addi' image '' [21] menuitem 'Glynda', hasPopup='menu' image '' [35] menuitem 'Enriqueta' image '' [37] menuitem 'Susann', hasPopup='menu'</x:v>
      </x:c>
      <x:c r="R306" s="20" t="str">
        <x:v>file:///root/autodl-tmp/miniwob-plusplus/miniwob/html/miniwob/click-menu.html</x:v>
      </x:c>
      <x:c r="S306" s="20" t="str">
        <x:v>Click Menu Task</x:v>
      </x:c>
      <x:c r="T306" s="20" t="str">
        <x:v>RootWebArea 'Click Menu Task', focused [17] menu '', clickable, orientation='vertical' image '' [19] menuitem 'Addi' image '' [21] menuitem 'Glynda', hasPopup='menu' image '' [35] menuitem 'Enriqueta' image '' [37] menuitem 'Susann', hasPopup='menu' [39] menu '', orientation='vertical' image '' [41] menuitem 'Kali', hasPopup='menu' image '' [51] menuitem 'Erin' image '' [53] menuitem 'Adele', hasPopup='menu' image '' [65] menuitem 'Mil'</x:v>
      </x:c>
      <x:c r="U306" s="6" t="str">
        <x:v>0</x:v>
      </x:c>
      <x:c r="V306" s="6" t="str">
        <x:v>0</x:v>
      </x:c>
      <x:c r="W306" s="6" t="str">
        <x:v>0</x:v>
      </x:c>
      <x:c r="X306" s="6" t="str">
        <x:v>1</x:v>
      </x:c>
      <x:c r="Y306" s="6" t="str">
        <x:v>0</x:v>
      </x:c>
      <x:c r="Z306" s="6" t="str">
        <x:v>1</x:v>
      </x:c>
      <x:c r="AA306" s="6" t="str">
        <x:v>0.0</x:v>
      </x:c>
      <x:c r="AB306" s="20" t="str">
        <x:v>Codex证据复核v1：原始记录唯一匹配、环境实测、反事实配对ID完整、终止且非成功、奖励非正、队列标签与结果派生规则一致；非人工签字。</x:v>
      </x:c>
    </x:row>
    <x:row r="307" ht="46" customHeight="1">
      <x:c r="A307" s="6" t="str">
        <x:v>1</x:v>
      </x:c>
      <x:c r="B307" s="6" t="str">
        <x:v>0a173f26c32232338f46</x:v>
      </x:c>
      <x:c r="C307" s="6" t="str">
        <x:v>evidence_approved</x:v>
      </x:c>
      <x:c r="D307" s="6" t="str">
        <x:v>codex-evidence-review-v1</x:v>
      </x:c>
      <x:c r="E307" s="22" t="n">
        <x:v>46244.40206471065</x:v>
      </x:c>
      <x:c r="F307" s="6" t="str">
        <x:v>20</x:v>
      </x:c>
      <x:c r="G307" s="20" t="str">
        <x:v>observed_counterfactual;severe_failure;terminal</x:v>
      </x:c>
      <x:c r="H307" s="20" t="str">
        <x:v>browsergym/miniwob.click-tab</x:v>
      </x:c>
      <x:c r="I307" s="6" t="str">
        <x:v>browsergym/miniwob.click-tab</x:v>
      </x:c>
      <x:c r="J307" s="6" t="str">
        <x:v>cf-click-tab-seed1006-hard_wrong_target</x:v>
      </x:c>
      <x:c r="K307" s="6" t="str">
        <x:v>0</x:v>
      </x:c>
      <x:c r="L307" s="20" t="str">
        <x:v>Click on Tab #1.</x:v>
      </x:c>
      <x:c r="M307" s="20" t="str">
        <x:v>click("20", "left")</x:v>
      </x:c>
      <x:c r="N307" s="6" t="str">
        <x:v>0.0</x:v>
      </x:c>
      <x:c r="O307" s="20" t="str">
        <x:v>file:///root/autodl-tmp/miniwob-plusplus/miniwob/html/miniwob/click-tab.html</x:v>
      </x:c>
      <x:c r="P307" s="20" t="str">
        <x:v>Click Tab Task</x:v>
      </x:c>
      <x:c r="Q307" s="20" t="str">
        <x:v>RootWebArea 'Click Tab Task', focused [17] tablist '', clickable, multiselectable=False, orientation='horizontal' [18] tab 'Tab #1', expanded=False, selected=False, controls='tabs-1' [19] link 'Tab #1', clickable [20] tab 'Tab #2', expanded=False, selected=False, controls='tabs-2' [21] link 'Tab #2', clickable [22] tab 'Tab #3', expanded=True, selected=True, controls='tabs-3' [23] link 'Tab #3', clickable [28] tabpanel 'Tab #3' [29] paragraph '' StaticText 'Vel platea sed ut gravida. Nunc turpis. Pulvinar egestas leo a leo vel. Sed cum eget et, neque mi. Enim.'</x:v>
      </x:c>
      <x:c r="R307" s="20" t="str">
        <x:v>file:///root/autodl-tmp/miniwob-plusplus/miniwob/html/miniwob/click-tab.html</x:v>
      </x:c>
      <x:c r="S307" s="20" t="str">
        <x:v>Click Tab Task</x:v>
      </x:c>
      <x:c r="T307"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'Tortor cursus dictum mauris. Ultrices tristique at vitae leo sed. Ullamcorper at elit. Quisque quis tempus nullam pharetra tortor montes.'</x:v>
      </x:c>
      <x:c r="U307" s="6" t="str">
        <x:v>0</x:v>
      </x:c>
      <x:c r="V307" s="6" t="str">
        <x:v>0</x:v>
      </x:c>
      <x:c r="W307" s="6" t="str">
        <x:v>0</x:v>
      </x:c>
      <x:c r="X307" s="6" t="str">
        <x:v>1</x:v>
      </x:c>
      <x:c r="Y307" s="6" t="str">
        <x:v>0</x:v>
      </x:c>
      <x:c r="Z307" s="6" t="str">
        <x:v>1</x:v>
      </x:c>
      <x:c r="AA307" s="6" t="str">
        <x:v>0.0</x:v>
      </x:c>
      <x:c r="AB307" s="20" t="str">
        <x:v>Codex证据复核v1：原始记录唯一匹配、环境实测、反事实配对ID完整、终止且非成功、奖励非正、队列标签与结果派生规则一致；非人工签字。</x:v>
      </x:c>
    </x:row>
    <x:row r="308" ht="46" customHeight="1">
      <x:c r="A308" s="6" t="str">
        <x:v>1</x:v>
      </x:c>
      <x:c r="B308" s="6" t="str">
        <x:v>a27a437227939a5ae85c</x:v>
      </x:c>
      <x:c r="C308" s="6" t="str">
        <x:v>evidence_approved</x:v>
      </x:c>
      <x:c r="D308" s="6" t="str">
        <x:v>codex-evidence-review-v1</x:v>
      </x:c>
      <x:c r="E308" s="22" t="n">
        <x:v>46244.40206471065</x:v>
      </x:c>
      <x:c r="F308" s="6" t="str">
        <x:v>20</x:v>
      </x:c>
      <x:c r="G308" s="20" t="str">
        <x:v>observed_counterfactual;severe_failure;terminal</x:v>
      </x:c>
      <x:c r="H308" s="20" t="str">
        <x:v>browsergym/miniwob.click-menu</x:v>
      </x:c>
      <x:c r="I308" s="6" t="str">
        <x:v>browsergym/miniwob.click-menu</x:v>
      </x:c>
      <x:c r="J308" s="6" t="str">
        <x:v>cf-click-menu-seed1039-missing_target</x:v>
      </x:c>
      <x:c r="K308" s="6" t="str">
        <x:v>0</x:v>
      </x:c>
      <x:c r="L308" s="20" t="str">
        <x:v>Select Roselle&gt;Kaitlynn</x:v>
      </x:c>
      <x:c r="M308" s="20" t="str">
        <x:v>click("21", "left")</x:v>
      </x:c>
      <x:c r="N308" s="6" t="str">
        <x:v>0.0</x:v>
      </x:c>
      <x:c r="O308" s="20" t="str">
        <x:v>file:///root/autodl-tmp/miniwob-plusplus/miniwob/html/miniwob/click-menu.html</x:v>
      </x:c>
      <x:c r="P308" s="20" t="str">
        <x:v>Click Menu Task</x:v>
      </x:c>
      <x:c r="Q308" s="20" t="str">
        <x:v>RootWebArea 'Click Menu Task', focused [17] menu '', clickable, orientation='vertical' image '' [19] menuitem 'Lia' image '' [21] menuitem 'Roselle', hasPopup='menu' image '' [49] menuitem 'Philippine'</x:v>
      </x:c>
      <x:c r="R308" s="20" t="str">
        <x:v>file:///root/autodl-tmp/miniwob-plusplus/miniwob/html/miniwob/click-menu.html</x:v>
      </x:c>
      <x:c r="S308" s="20" t="str">
        <x:v>Click Menu Task</x:v>
      </x:c>
      <x:c r="T308" s="20" t="str">
        <x:v>RootWebArea 'Click Menu Task', focused [17] menu '', clickable, orientation='vertical' image '' [19] menuitem 'Lia' image '' [21] menuitem 'Roselle', hasPopup='menu' [23] menu '', orientation='vertical' image '' [25] menuitem 'Zea' image '' [27] menuitem 'Rubetta', hasPopup='menu' image '' [39] menuitem 'Gert', hasPopup='menu' image '' [47] menuitem 'Kaitlynn' image '' [49] menuitem 'Philippine'</x:v>
      </x:c>
      <x:c r="U308" s="6" t="str">
        <x:v>0</x:v>
      </x:c>
      <x:c r="V308" s="6" t="str">
        <x:v>0</x:v>
      </x:c>
      <x:c r="W308" s="6" t="str">
        <x:v>0</x:v>
      </x:c>
      <x:c r="X308" s="6" t="str">
        <x:v>1</x:v>
      </x:c>
      <x:c r="Y308" s="6" t="str">
        <x:v>0</x:v>
      </x:c>
      <x:c r="Z308" s="6" t="str">
        <x:v>1</x:v>
      </x:c>
      <x:c r="AA308" s="6" t="str">
        <x:v>0.0</x:v>
      </x:c>
      <x:c r="AB308" s="20" t="str">
        <x:v>Codex证据复核v1：原始记录唯一匹配、环境实测、反事实配对ID完整、终止且非成功、奖励非正、队列标签与结果派生规则一致；非人工签字。</x:v>
      </x:c>
    </x:row>
    <x:row r="309" ht="46" customHeight="1">
      <x:c r="A309" s="6" t="str">
        <x:v>1</x:v>
      </x:c>
      <x:c r="B309" s="6" t="str">
        <x:v>c07af6ec8860968c7ac1</x:v>
      </x:c>
      <x:c r="C309" s="6" t="str">
        <x:v>evidence_approved</x:v>
      </x:c>
      <x:c r="D309" s="6" t="str">
        <x:v>codex-evidence-review-v1</x:v>
      </x:c>
      <x:c r="E309" s="22" t="n">
        <x:v>46244.40206471065</x:v>
      </x:c>
      <x:c r="F309" s="6" t="str">
        <x:v>20</x:v>
      </x:c>
      <x:c r="G309" s="20" t="str">
        <x:v>observed_counterfactual;severe_failure;terminal</x:v>
      </x:c>
      <x:c r="H309" s="20" t="str">
        <x:v>browsergym/miniwob.click-test-2</x:v>
      </x:c>
      <x:c r="I309" s="6" t="str">
        <x:v>browsergym/miniwob.click-test-2</x:v>
      </x:c>
      <x:c r="J309" s="6" t="str">
        <x:v>cf-click-test-2-seed1009-hard_wrong_target</x:v>
      </x:c>
      <x:c r="K309" s="6" t="str">
        <x:v>0</x:v>
      </x:c>
      <x:c r="L309" s="20" t="str">
        <x:v>Click button ONE.</x:v>
      </x:c>
      <x:c r="M309" s="20" t="str">
        <x:v>click("14", "left")</x:v>
      </x:c>
      <x:c r="N309" s="6" t="str">
        <x:v>0.0</x:v>
      </x:c>
      <x:c r="O309" s="20" t="str">
        <x:v>file:///root/autodl-tmp/miniwob-plusplus/miniwob/html/miniwob/click-test-2.html</x:v>
      </x:c>
      <x:c r="P309" s="20" t="str">
        <x:v>Click Test Task</x:v>
      </x:c>
      <x:c r="Q309" s="20" t="str">
        <x:v>RootWebArea 'Click Test Task', focused [13] button 'ONE', clickable [14] button 'TWO', clickable</x:v>
      </x:c>
      <x:c r="R309" s="20" t="str">
        <x:v>file:///root/autodl-tmp/miniwob-plusplus/miniwob/html/miniwob/click-test-2.html</x:v>
      </x:c>
      <x:c r="S309" s="20" t="str">
        <x:v>Click Test Task</x:v>
      </x:c>
      <x:c r="T309" s="20" t="str">
        <x:v>RootWebArea 'Click Test Task', focused [13] button 'ONE', clickable [14] button 'TWO', clickable, focused</x:v>
      </x:c>
      <x:c r="U309" s="6" t="str">
        <x:v>0</x:v>
      </x:c>
      <x:c r="V309" s="6" t="str">
        <x:v>0</x:v>
      </x:c>
      <x:c r="W309" s="6" t="str">
        <x:v>0</x:v>
      </x:c>
      <x:c r="X309" s="6" t="str">
        <x:v>1</x:v>
      </x:c>
      <x:c r="Y309" s="6" t="str">
        <x:v>0</x:v>
      </x:c>
      <x:c r="Z309" s="6" t="str">
        <x:v>1</x:v>
      </x:c>
      <x:c r="AA309" s="6" t="str">
        <x:v>0.0</x:v>
      </x:c>
      <x:c r="AB309" s="20" t="str">
        <x:v>Codex证据复核v1：原始记录唯一匹配、环境实测、反事实配对ID完整、终止且非成功、奖励非正、队列标签与结果派生规则一致；非人工签字。</x:v>
      </x:c>
    </x:row>
    <x:row r="310" ht="46" customHeight="1">
      <x:c r="A310" s="6" t="str">
        <x:v>1</x:v>
      </x:c>
      <x:c r="B310" s="6" t="str">
        <x:v>a49bce11223f1f62dbbf</x:v>
      </x:c>
      <x:c r="C310" s="6" t="str">
        <x:v>evidence_approved</x:v>
      </x:c>
      <x:c r="D310" s="6" t="str">
        <x:v>codex-evidence-review-v1</x:v>
      </x:c>
      <x:c r="E310" s="22" t="n">
        <x:v>46244.40206471065</x:v>
      </x:c>
      <x:c r="F310" s="6" t="str">
        <x:v>20</x:v>
      </x:c>
      <x:c r="G310" s="20" t="str">
        <x:v>observed_counterfactual;severe_failure;terminal</x:v>
      </x:c>
      <x:c r="H310" s="20" t="str">
        <x:v>browsergym/miniwob.click-dialog-2</x:v>
      </x:c>
      <x:c r="I310" s="6" t="str">
        <x:v>browsergym/miniwob.click-dialog-2</x:v>
      </x:c>
      <x:c r="J310" s="6" t="str">
        <x:v>cf-click-dialog-2-seed1029-hard_wrong_target</x:v>
      </x:c>
      <x:c r="K310" s="6" t="str">
        <x:v>0</x:v>
      </x:c>
      <x:c r="L310" s="20" t="str">
        <x:v>Click the button in the dialog box labeled "x".</x:v>
      </x:c>
      <x:c r="M310" s="20" t="str">
        <x:v>click("27", "left")</x:v>
      </x:c>
      <x:c r="N310" s="6" t="str">
        <x:v>0.0</x:v>
      </x:c>
      <x:c r="O310" s="20" t="str">
        <x:v>file:///root/autodl-tmp/miniwob-plusplus/miniwob/html/miniwob/click-dialog-2.html</x:v>
      </x:c>
      <x:c r="P310" s="20" t="str">
        <x:v>Click Dialog Task</x:v>
      </x:c>
      <x:c r="Q310" s="20" t="str">
        <x:v>RootWebArea 'Click Dialog Task', focused [17] dialog '', clickable, modal=False, describedby='dialog' StaticText '' [20] button 'Close', clickable [24] paragraph '' StaticText 'Lacus dui porttitor fames quam.' [27] button 'Cancel', clickable, focused [28] button 'OK', clickable</x:v>
      </x:c>
      <x:c r="R310" s="20" t="str">
        <x:v>file:///root/autodl-tmp/miniwob-plusplus/miniwob/html/miniwob/click-dialog-2.html</x:v>
      </x:c>
      <x:c r="S310" s="20" t="str">
        <x:v>Click Dialog Task</x:v>
      </x:c>
      <x:c r="T310" s="20" t="str">
        <x:v>RootWebArea 'Click Dialog Task', focused [17] dialog '', clickable, modal=False, describedby='dialog' StaticText '' [20] button 'Close', clickable [24] paragraph '' StaticText 'Lacus dui porttitor fames quam.' [27] button 'Cancel', clickable, focused [28] button 'OK', clickable</x:v>
      </x:c>
      <x:c r="U310" s="6" t="str">
        <x:v>0</x:v>
      </x:c>
      <x:c r="V310" s="6" t="str">
        <x:v>0</x:v>
      </x:c>
      <x:c r="W310" s="6" t="str">
        <x:v>0</x:v>
      </x:c>
      <x:c r="X310" s="6" t="str">
        <x:v>1</x:v>
      </x:c>
      <x:c r="Y310" s="6" t="str">
        <x:v>0</x:v>
      </x:c>
      <x:c r="Z310" s="6" t="str">
        <x:v>1</x:v>
      </x:c>
      <x:c r="AA310" s="6" t="str">
        <x:v>0.0</x:v>
      </x:c>
      <x:c r="AB310" s="20" t="str">
        <x:v>Codex证据复核v1：原始记录唯一匹配、环境实测、反事实配对ID完整、终止且非成功、奖励非正、队列标签与结果派生规则一致；非人工签字。</x:v>
      </x:c>
    </x:row>
    <x:row r="311" ht="46" customHeight="1">
      <x:c r="A311" s="6" t="str">
        <x:v>1</x:v>
      </x:c>
      <x:c r="B311" s="6" t="str">
        <x:v>fcd21904ba69af193f7c</x:v>
      </x:c>
      <x:c r="C311" s="6" t="str">
        <x:v>evidence_approved</x:v>
      </x:c>
      <x:c r="D311" s="6" t="str">
        <x:v>codex-evidence-review-v1</x:v>
      </x:c>
      <x:c r="E311" s="22" t="n">
        <x:v>46244.40206471065</x:v>
      </x:c>
      <x:c r="F311" s="6" t="str">
        <x:v>20</x:v>
      </x:c>
      <x:c r="G311" s="20" t="str">
        <x:v>observed_counterfactual;severe_failure;terminal</x:v>
      </x:c>
      <x:c r="H311" s="20" t="str">
        <x:v>browsergym/miniwob.click-widget</x:v>
      </x:c>
      <x:c r="I311" s="6" t="str">
        <x:v>browsergym/miniwob.click-widget</x:v>
      </x:c>
      <x:c r="J311" s="6" t="str">
        <x:v>cf-click-widget-seed1019-hard_wrong_target</x:v>
      </x:c>
      <x:c r="K311" s="6" t="str">
        <x:v>0</x:v>
      </x:c>
      <x:c r="L311" s="20" t="str">
        <x:v>Click on a "checkbox" widget.</x:v>
      </x:c>
      <x:c r="M311" s="20" t="str">
        <x:v>click("19", "left")</x:v>
      </x:c>
      <x:c r="N311" s="6" t="str">
        <x:v>0.0</x:v>
      </x:c>
      <x:c r="O311" s="20" t="str">
        <x:v>file:///root/autodl-tmp/miniwob-plusplus/miniwob/html/miniwob/click-widget.html</x:v>
      </x:c>
      <x:c r="P311" s="20" t="str">
        <x:v>Click Widget Task</x:v>
      </x:c>
      <x:c r="Q311" s="20" t="str">
        <x:v>RootWebArea 'Click Widget Task', focused [14] LabelText '', clickable [15] checkbox 'QTT', clickable, checked='false' StaticText 'QTT' [17] textbox '' value='GYhN' StaticText 'GYhN' [19] button 'VNjQ' [21] LabelText '', clickable [22] checkbox '7', clickable, checked='false' StaticText '7' [24] LabelText '', clickable [25] checkbox 'cACj', clickable, checked='false' StaticText 'cACj'</x:v>
      </x:c>
      <x:c r="R311" s="20" t="str">
        <x:v>file:///root/autodl-tmp/miniwob-plusplus/miniwob/html/miniwob/click-widget.html</x:v>
      </x:c>
      <x:c r="S311" s="20" t="str">
        <x:v>Click Widget Task</x:v>
      </x:c>
      <x:c r="T311" s="20" t="str">
        <x:v>RootWebArea 'Click Widget Task', focused [14] LabelText '', clickable [15] checkbox 'QTT', clickable, checked='false' StaticText 'QTT' [17] textbox '' value='GYhN' StaticText 'GYhN' [19] button 'VNjQ', focused [21] LabelText '', clickable [22] checkbox '7', clickable, checked='false' StaticText '7' [24] LabelText '', clickable [25] checkbox 'cACj', clickable, checked='false' StaticText 'cACj'</x:v>
      </x:c>
      <x:c r="U311" s="6" t="str">
        <x:v>0</x:v>
      </x:c>
      <x:c r="V311" s="6" t="str">
        <x:v>0</x:v>
      </x:c>
      <x:c r="W311" s="6" t="str">
        <x:v>0</x:v>
      </x:c>
      <x:c r="X311" s="6" t="str">
        <x:v>1</x:v>
      </x:c>
      <x:c r="Y311" s="6" t="str">
        <x:v>0</x:v>
      </x:c>
      <x:c r="Z311" s="6" t="str">
        <x:v>1</x:v>
      </x:c>
      <x:c r="AA311" s="6" t="str">
        <x:v>0.0</x:v>
      </x:c>
      <x:c r="AB311" s="20" t="str">
        <x:v>Codex证据复核v1：原始记录唯一匹配、环境实测、反事实配对ID完整、终止且非成功、奖励非正、队列标签与结果派生规则一致；非人工签字。</x:v>
      </x:c>
    </x:row>
    <x:row r="312" ht="46" customHeight="1">
      <x:c r="A312" s="6" t="str">
        <x:v>1</x:v>
      </x:c>
      <x:c r="B312" s="6" t="str">
        <x:v>55b3be9af183c08d63ab</x:v>
      </x:c>
      <x:c r="C312" s="6" t="str">
        <x:v>evidence_approved</x:v>
      </x:c>
      <x:c r="D312" s="6" t="str">
        <x:v>codex-evidence-review-v1</x:v>
      </x:c>
      <x:c r="E312" s="22" t="n">
        <x:v>46244.40206471065</x:v>
      </x:c>
      <x:c r="F312" s="6" t="str">
        <x:v>20</x:v>
      </x:c>
      <x:c r="G312" s="20" t="str">
        <x:v>observed_counterfactual;severe_failure;terminal</x:v>
      </x:c>
      <x:c r="H312" s="20" t="str">
        <x:v>browsergym/miniwob.click-dialog-2</x:v>
      </x:c>
      <x:c r="I312" s="6" t="str">
        <x:v>browsergym/miniwob.click-dialog-2</x:v>
      </x:c>
      <x:c r="J312" s="6" t="str">
        <x:v>cf-click-dialog-2-seed1004-missing_target</x:v>
      </x:c>
      <x:c r="K312" s="6" t="str">
        <x:v>0</x:v>
      </x:c>
      <x:c r="L312" s="20" t="str">
        <x:v>Click the button in the dialog box labeled "x".</x:v>
      </x:c>
      <x:c r="M312" s="20" t="str">
        <x:v>click("28", "left")</x:v>
      </x:c>
      <x:c r="N312" s="6" t="str">
        <x:v>0.0</x:v>
      </x:c>
      <x:c r="O312" s="20" t="str">
        <x:v>file:///root/autodl-tmp/miniwob-plusplus/miniwob/html/miniwob/click-dialog-2.html</x:v>
      </x:c>
      <x:c r="P312" s="20" t="str">
        <x:v>Click Dialog Task</x:v>
      </x:c>
      <x:c r="Q312" s="20" t="str">
        <x:v>RootWebArea 'Click Dialog Task', focused [17] dialog '', clickable, modal=False, describedby='dialog' StaticText '' [20] button 'Close', clickable [24] paragraph '' StaticText 'Pellentesque lorem velit condimentum felis.' [27] button 'Cancel', clickable, focused [28] button 'OK', clickable</x:v>
      </x:c>
      <x:c r="R312" s="20" t="str">
        <x:v>file:///root/autodl-tmp/miniwob-plusplus/miniwob/html/miniwob/click-dialog-2.html</x:v>
      </x:c>
      <x:c r="S312" s="20" t="str">
        <x:v>Click Dialog Task</x:v>
      </x:c>
      <x:c r="T312" s="20" t="str">
        <x:v>RootWebArea 'Click Dialog Task', focused [17] dialog '', clickable, modal=False, describedby='dialog' StaticText '' [20] button 'Close', clickable [24] paragraph '' StaticText 'Pellentesque lorem velit condimentum felis.' [27] button 'Cancel', clickable [28] button 'OK', clickable, focused</x:v>
      </x:c>
      <x:c r="U312" s="6" t="str">
        <x:v>0</x:v>
      </x:c>
      <x:c r="V312" s="6" t="str">
        <x:v>0</x:v>
      </x:c>
      <x:c r="W312" s="6" t="str">
        <x:v>0</x:v>
      </x:c>
      <x:c r="X312" s="6" t="str">
        <x:v>1</x:v>
      </x:c>
      <x:c r="Y312" s="6" t="str">
        <x:v>0</x:v>
      </x:c>
      <x:c r="Z312" s="6" t="str">
        <x:v>1</x:v>
      </x:c>
      <x:c r="AA312" s="6" t="str">
        <x:v>0.0</x:v>
      </x:c>
      <x:c r="AB312" s="20" t="str">
        <x:v>Codex证据复核v1：原始记录唯一匹配、环境实测、反事实配对ID完整、终止且非成功、奖励非正、队列标签与结果派生规则一致；非人工签字。</x:v>
      </x:c>
    </x:row>
    <x:row r="313" ht="46" customHeight="1">
      <x:c r="A313" s="6" t="str">
        <x:v>1</x:v>
      </x:c>
      <x:c r="B313" s="6" t="str">
        <x:v>285daa0542e2d315eea3</x:v>
      </x:c>
      <x:c r="C313" s="6" t="str">
        <x:v>evidence_approved</x:v>
      </x:c>
      <x:c r="D313" s="6" t="str">
        <x:v>codex-evidence-review-v1</x:v>
      </x:c>
      <x:c r="E313" s="22" t="n">
        <x:v>46244.40206471065</x:v>
      </x:c>
      <x:c r="F313" s="6" t="str">
        <x:v>20</x:v>
      </x:c>
      <x:c r="G313" s="20" t="str">
        <x:v>observed_counterfactual;severe_failure;terminal</x:v>
      </x:c>
      <x:c r="H313" s="20" t="str">
        <x:v>browsergym/miniwob.login-user</x:v>
      </x:c>
      <x:c r="I313" s="6" t="str">
        <x:v>browsergym/miniwob.login-user</x:v>
      </x:c>
      <x:c r="J313" s="6" t="str">
        <x:v>cf-login-user-seed1025-hard_wrong_target</x:v>
      </x:c>
      <x:c r="K313" s="6" t="str">
        <x:v>0</x:v>
      </x:c>
      <x:c r="L313" s="20" t="str">
        <x:v>Enter the username "keneth" and the password "zV" into the text fields and press login.</x:v>
      </x:c>
      <x:c r="M313" s="20" t="str">
        <x:v>click("20", "left")</x:v>
      </x:c>
      <x:c r="N313" s="6" t="str">
        <x:v>0.0</x:v>
      </x:c>
      <x:c r="O313" s="20" t="str">
        <x:v>file:///root/autodl-tmp/miniwob-plusplus/miniwob/html/miniwob/login-user.html</x:v>
      </x:c>
      <x:c r="P313" s="20" t="str">
        <x:v>Login User Task</x:v>
      </x:c>
      <x:c r="Q313" s="20" t="str">
        <x:v>RootWebArea 'Login User Task', focused [14] paragraph '' [15] LabelText '' StaticText 'Username' [16] textbox '', clickable [17] paragraph '' [18] LabelText '' StaticText 'Password' [19] textbox '', clickable [20] button 'Login', clickable</x:v>
      </x:c>
      <x:c r="R313" s="20" t="str">
        <x:v>file:///root/autodl-tmp/miniwob-plusplus/miniwob/html/miniwob/login-user.html</x:v>
      </x:c>
      <x:c r="S313" s="20" t="str">
        <x:v>Login User Task</x:v>
      </x:c>
      <x:c r="T313" s="20" t="str">
        <x:v>RootWebArea 'Login User Task', focused [14] paragraph '' [15] LabelText '' StaticText 'Username' [16] textbox '', clickable [17] paragraph '' [18] LabelText '' StaticText 'Password' [19] textbox '', clickable [20] button 'Login', clickable, focused</x:v>
      </x:c>
      <x:c r="U313" s="6" t="str">
        <x:v>0</x:v>
      </x:c>
      <x:c r="V313" s="6" t="str">
        <x:v>0</x:v>
      </x:c>
      <x:c r="W313" s="6" t="str">
        <x:v>0</x:v>
      </x:c>
      <x:c r="X313" s="6" t="str">
        <x:v>1</x:v>
      </x:c>
      <x:c r="Y313" s="6" t="str">
        <x:v>0</x:v>
      </x:c>
      <x:c r="Z313" s="6" t="str">
        <x:v>1</x:v>
      </x:c>
      <x:c r="AA313" s="6" t="str">
        <x:v>0.0</x:v>
      </x:c>
      <x:c r="AB313" s="20" t="str">
        <x:v>Codex证据复核v1：原始记录唯一匹配、环境实测、反事实配对ID完整、终止且非成功、奖励非正、队列标签与结果派生规则一致；非人工签字。</x:v>
      </x:c>
    </x:row>
    <x:row r="314" ht="46" customHeight="1">
      <x:c r="A314" s="6" t="str">
        <x:v>1</x:v>
      </x:c>
      <x:c r="B314" s="6" t="str">
        <x:v>03c7c3deba74561f5126</x:v>
      </x:c>
      <x:c r="C314" s="6" t="str">
        <x:v>evidence_approved</x:v>
      </x:c>
      <x:c r="D314" s="6" t="str">
        <x:v>codex-evidence-review-v1</x:v>
      </x:c>
      <x:c r="E314" s="22" t="n">
        <x:v>46244.40206471065</x:v>
      </x:c>
      <x:c r="F314" s="6" t="str">
        <x:v>20</x:v>
      </x:c>
      <x:c r="G314" s="20" t="str">
        <x:v>observed_counterfactual;severe_failure;terminal</x:v>
      </x:c>
      <x:c r="H314" s="20" t="str">
        <x:v>browsergym/miniwob.click-widget</x:v>
      </x:c>
      <x:c r="I314" s="6" t="str">
        <x:v>browsergym/miniwob.click-widget</x:v>
      </x:c>
      <x:c r="J314" s="6" t="str">
        <x:v>cf-click-widget-seed1002-missing_target</x:v>
      </x:c>
      <x:c r="K314" s="6" t="str">
        <x:v>0</x:v>
      </x:c>
      <x:c r="L314" s="20" t="str">
        <x:v>Click on a "radio" widget.</x:v>
      </x:c>
      <x:c r="M314" s="20" t="str">
        <x:v>click("24", "left")</x:v>
      </x:c>
      <x:c r="N314" s="6" t="str">
        <x:v>0.0</x:v>
      </x:c>
      <x:c r="O314" s="20" t="str">
        <x:v>file:///root/autodl-tmp/miniwob-plusplus/miniwob/html/miniwob/click-widget.html</x:v>
      </x:c>
      <x:c r="P314" s="20" t="str">
        <x:v>Click Widget Task</x:v>
      </x:c>
      <x:c r="Q314" s="20" t="str">
        <x:v>RootWebArea 'Click Widget Task', focused [14] textbox '' value='yn' StaticText 'yn' [16] textbox '' value='QPi5' StaticText 'QPi5' [18] LabelText '', clickable [19] radio 'l0tz', clickable, checked='false' StaticText 'l0tz' [21] LabelText '', clickable [22] radio 'HT', clickable, checked='false' StaticText 'HT' [24] button 'R'</x:v>
      </x:c>
      <x:c r="R314" s="20" t="str">
        <x:v>file:///root/autodl-tmp/miniwob-plusplus/miniwob/html/miniwob/click-widget.html</x:v>
      </x:c>
      <x:c r="S314" s="20" t="str">
        <x:v>Click Widget Task</x:v>
      </x:c>
      <x:c r="T314" s="20" t="str">
        <x:v>RootWebArea 'Click Widget Task', focused [14] textbox '' value='yn' StaticText 'yn' [16] textbox '' value='QPi5' StaticText 'QPi5' [18] LabelText '', clickable [19] radio 'l0tz', clickable, checked='false' StaticText 'l0tz' [21] LabelText '', clickable [22] radio 'HT', clickable, checked='false' StaticText 'HT' [24] button 'R', focused</x:v>
      </x:c>
      <x:c r="U314" s="6" t="str">
        <x:v>0</x:v>
      </x:c>
      <x:c r="V314" s="6" t="str">
        <x:v>0</x:v>
      </x:c>
      <x:c r="W314" s="6" t="str">
        <x:v>0</x:v>
      </x:c>
      <x:c r="X314" s="6" t="str">
        <x:v>1</x:v>
      </x:c>
      <x:c r="Y314" s="6" t="str">
        <x:v>0</x:v>
      </x:c>
      <x:c r="Z314" s="6" t="str">
        <x:v>1</x:v>
      </x:c>
      <x:c r="AA314" s="6" t="str">
        <x:v>0.0</x:v>
      </x:c>
      <x:c r="AB314" s="20" t="str">
        <x:v>Codex证据复核v1：原始记录唯一匹配、环境实测、反事实配对ID完整、终止且非成功、奖励非正、队列标签与结果派生规则一致；非人工签字。</x:v>
      </x:c>
    </x:row>
    <x:row r="315" ht="46" customHeight="1">
      <x:c r="A315" s="6" t="str">
        <x:v>1</x:v>
      </x:c>
      <x:c r="B315" s="6" t="str">
        <x:v>d3ee2a2ef06379c76a71</x:v>
      </x:c>
      <x:c r="C315" s="6" t="str">
        <x:v>evidence_approved</x:v>
      </x:c>
      <x:c r="D315" s="6" t="str">
        <x:v>codex-evidence-review-v1</x:v>
      </x:c>
      <x:c r="E315" s="22" t="n">
        <x:v>46244.40206471065</x:v>
      </x:c>
      <x:c r="F315" s="6" t="str">
        <x:v>20</x:v>
      </x:c>
      <x:c r="G315" s="20" t="str">
        <x:v>observed_counterfactual;severe_failure;terminal</x:v>
      </x:c>
      <x:c r="H315" s="20" t="str">
        <x:v>browsergym/miniwob.scroll-text</x:v>
      </x:c>
      <x:c r="I315" s="6" t="str">
        <x:v>browsergym/miniwob.scroll-text</x:v>
      </x:c>
      <x:c r="J315" s="6" t="str">
        <x:v>cf-scroll-text-seed1038-hard_wrong_target</x:v>
      </x:c>
      <x:c r="K315" s="6" t="str">
        <x:v>0</x:v>
      </x:c>
      <x:c r="L315" s="20" t="str">
        <x:v>Find the last word in the text area, enter it into the text field and hit Submit.</x:v>
      </x:c>
      <x:c r="M315" s="20" t="str">
        <x:v>click("15", "left")</x:v>
      </x:c>
      <x:c r="N315" s="6" t="str">
        <x:v>0.0</x:v>
      </x:c>
      <x:c r="O315" s="20" t="str">
        <x:v>file:///root/autodl-tmp/miniwob-plusplus/miniwob/html/miniwob/scroll-text.html</x:v>
      </x:c>
      <x:c r="P315" s="20" t="str">
        <x:v>Scroll Text Task</x:v>
      </x:c>
      <x:c r="Q315" s="20" t="str">
        <x:v>RootWebArea 'Scroll Text Task', focused [13] textbox '' value='Neque lacus non mus senectus amet eleifend id aenean viverra non. Dictumst neque. Odio diam nulla mattis. Sed. Arcu. Purus. Eu. Non sit pellentesque consequat egestas consectetur viverra fringilla. Nulla. Nullam venenatis ipsum. Adipiscing massa. Cum adipiscing nulla nunc, ultricies dignissim cursus eget lorem convallis. Viverra ipsum egestas mollis. Placerat dolor malesuada arcu mauris convallis non sodales elit. Aenean bibendum quis. Sem. Pulvinar. Pretium vulputate purus adipiscing massa ante. Risus, maecenas ut imperdiet sed. Dictum in posuere tempor, placerat int… StaticText 'Neque lacus non mus senectus amet eleifend id aenean viverra non. Dictumst neque. Odio diam nulla mattis. Sed. Arcu. Purus. Eu. Non sit pellentesque consequat egestas consectetur viverra fringilla. Nulla. Nullam venenatis ipsum. Adipiscing massa. C…</x:v>
      </x:c>
      <x:c r="R315" s="20" t="str">
        <x:v>file:///root/autodl-tmp/miniwob-plusplus/miniwob/html/miniwob/scroll-text.html</x:v>
      </x:c>
      <x:c r="S315" s="20" t="str">
        <x:v>Scroll Text Task</x:v>
      </x:c>
      <x:c r="T315" s="20" t="str">
        <x:v>RootWebArea 'Scroll Text Task', focused [13] textbox '' value='Neque lacus non mus senectus amet eleifend id aenean viverra non. Dictumst neque. Odio diam nulla mattis. Sed. Arcu. Purus. Eu. Non sit pellentesque consequat egestas consectetur viverra fringilla. Nulla. Nullam venenatis ipsum. Adipiscing massa. Cum adipiscing nulla nunc, ultricies dignissim cursus eget lorem convallis. Viverra ipsum egestas mollis. Placerat dolor malesuada arcu mauris convallis non sodales elit. Aenean bibendum quis. Sem. Pulvinar. Pretium vulputate purus adipiscing massa ante. Risus, maecenas ut imperdiet sed. Dictum in posuere tempor, placerat int… StaticText 'Neque lacus non mus senectus amet eleifend id aenean viverra non. Dictumst neque. Odio diam nulla mattis. Sed. Arcu. Purus. Eu. Non sit pellentesque consequat egestas consectetur viverra fringilla. Nulla. Nullam venenatis ipsum. Adipiscing massa. C…</x:v>
      </x:c>
      <x:c r="U315" s="6" t="str">
        <x:v>0</x:v>
      </x:c>
      <x:c r="V315" s="6" t="str">
        <x:v>0</x:v>
      </x:c>
      <x:c r="W315" s="6" t="str">
        <x:v>0</x:v>
      </x:c>
      <x:c r="X315" s="6" t="str">
        <x:v>1</x:v>
      </x:c>
      <x:c r="Y315" s="6" t="str">
        <x:v>0</x:v>
      </x:c>
      <x:c r="Z315" s="6" t="str">
        <x:v>1</x:v>
      </x:c>
      <x:c r="AA315" s="6" t="str">
        <x:v>0.0</x:v>
      </x:c>
      <x:c r="AB315" s="20" t="str">
        <x:v>Codex证据复核v1：原始记录唯一匹配、环境实测、反事实配对ID完整、终止且非成功、奖励非正、队列标签与结果派生规则一致；非人工签字。</x:v>
      </x:c>
    </x:row>
    <x:row r="316" ht="46" customHeight="1">
      <x:c r="A316" s="6" t="str">
        <x:v>1</x:v>
      </x:c>
      <x:c r="B316" s="6" t="str">
        <x:v>f36662ede6c20c1a67e5</x:v>
      </x:c>
      <x:c r="C316" s="6" t="str">
        <x:v>evidence_approved</x:v>
      </x:c>
      <x:c r="D316" s="6" t="str">
        <x:v>codex-evidence-review-v1</x:v>
      </x:c>
      <x:c r="E316" s="22" t="n">
        <x:v>46244.40206471065</x:v>
      </x:c>
      <x:c r="F316" s="6" t="str">
        <x:v>20</x:v>
      </x:c>
      <x:c r="G316" s="20" t="str">
        <x:v>observed_counterfactual;severe_failure;terminal</x:v>
      </x:c>
      <x:c r="H316" s="20" t="str">
        <x:v>browsergym/miniwob.click-menu</x:v>
      </x:c>
      <x:c r="I316" s="6" t="str">
        <x:v>browsergym/miniwob.click-menu</x:v>
      </x:c>
      <x:c r="J316" s="6" t="str">
        <x:v>cf-click-menu-seed1025-hard_wrong_target</x:v>
      </x:c>
      <x:c r="K316" s="6" t="str">
        <x:v>0</x:v>
      </x:c>
      <x:c r="L316" s="20" t="str">
        <x:v>Select Joana&gt;Brandea&gt;Berte</x:v>
      </x:c>
      <x:c r="M316" s="20" t="str">
        <x:v>click("31", "left")</x:v>
      </x:c>
      <x:c r="N316" s="6" t="str">
        <x:v>0.0</x:v>
      </x:c>
      <x:c r="O316" s="20" t="str">
        <x:v>file:///root/autodl-tmp/miniwob-plusplus/miniwob/html/miniwob/click-menu.html</x:v>
      </x:c>
      <x:c r="P316" s="20" t="str">
        <x:v>Click Menu Task</x:v>
      </x:c>
      <x:c r="Q316" s="20" t="str">
        <x:v>RootWebArea 'Click Menu Task', focused [17] menu '', clickable, orientation='vertical' image '' [19] menuitem 'Kelly', hasPopup='menu' image '' [31] menuitem 'Joana', hasPopup='menu'</x:v>
      </x:c>
      <x:c r="R316" s="20" t="str">
        <x:v>file:///root/autodl-tmp/miniwob-plusplus/miniwob/html/miniwob/click-menu.html</x:v>
      </x:c>
      <x:c r="S316" s="20" t="str">
        <x:v>Click Menu Task</x:v>
      </x:c>
      <x:c r="T316" s="20" t="str">
        <x:v>RootWebArea 'Click Menu Task', focused [17] menu '', clickable, orientation='vertical' image '' [19] menuitem 'Kelly', hasPopup='menu' image '' [31] menuitem 'Joana', hasPopup='menu' [33] menu '', orientation='vertical' image '' [35] menuitem 'Prudence', hasPopup='menu' image '' [47] menuitem 'Brandea', hasPopup='menu' image '' [59] menuitem 'Vitia'</x:v>
      </x:c>
      <x:c r="U316" s="6" t="str">
        <x:v>0</x:v>
      </x:c>
      <x:c r="V316" s="6" t="str">
        <x:v>0</x:v>
      </x:c>
      <x:c r="W316" s="6" t="str">
        <x:v>0</x:v>
      </x:c>
      <x:c r="X316" s="6" t="str">
        <x:v>1</x:v>
      </x:c>
      <x:c r="Y316" s="6" t="str">
        <x:v>0</x:v>
      </x:c>
      <x:c r="Z316" s="6" t="str">
        <x:v>1</x:v>
      </x:c>
      <x:c r="AA316" s="6" t="str">
        <x:v>0.0</x:v>
      </x:c>
      <x:c r="AB316" s="20" t="str">
        <x:v>Codex证据复核v1：原始记录唯一匹配、环境实测、反事实配对ID完整、终止且非成功、奖励非正、队列标签与结果派生规则一致；非人工签字。</x:v>
      </x:c>
    </x:row>
    <x:row r="317" ht="46" customHeight="1">
      <x:c r="A317" s="6" t="str">
        <x:v>1</x:v>
      </x:c>
      <x:c r="B317" s="6" t="str">
        <x:v>efa7a0ea5f1675ce0e19</x:v>
      </x:c>
      <x:c r="C317" s="6" t="str">
        <x:v>evidence_approved</x:v>
      </x:c>
      <x:c r="D317" s="6" t="str">
        <x:v>codex-evidence-review-v1</x:v>
      </x:c>
      <x:c r="E317" s="22" t="n">
        <x:v>46244.40206471065</x:v>
      </x:c>
      <x:c r="F317" s="6" t="str">
        <x:v>20</x:v>
      </x:c>
      <x:c r="G317" s="20" t="str">
        <x:v>observed_counterfactual;severe_failure;terminal</x:v>
      </x:c>
      <x:c r="H317" s="20" t="str">
        <x:v>browsergym/miniwob.click-widget</x:v>
      </x:c>
      <x:c r="I317" s="6" t="str">
        <x:v>browsergym/miniwob.click-widget</x:v>
      </x:c>
      <x:c r="J317" s="6" t="str">
        <x:v>cf-click-widget-seed1009-hard_wrong_target</x:v>
      </x:c>
      <x:c r="K317" s="6" t="str">
        <x:v>0</x:v>
      </x:c>
      <x:c r="L317" s="20" t="str">
        <x:v>Click on a "button" widget.</x:v>
      </x:c>
      <x:c r="M317" s="20" t="str">
        <x:v>click("15", "left")</x:v>
      </x:c>
      <x:c r="N317" s="6" t="str">
        <x:v>0.0</x:v>
      </x:c>
      <x:c r="O317" s="20" t="str">
        <x:v>file:///root/autodl-tmp/miniwob-plusplus/miniwob/html/miniwob/click-widget.html</x:v>
      </x:c>
      <x:c r="P317" s="20" t="str">
        <x:v>Click Widget Task</x:v>
      </x:c>
      <x:c r="Q317" s="20" t="str">
        <x:v>RootWebArea 'Click Widget Task', focused [14] LabelText '', clickable [15] radio 'wXufA', clickable, checked='false' StaticText 'wXufA' [17] button 'LuFU7' [19] textbox '' value='LBQD', clickable StaticText 'LBQD' [21] button '1P' [23] button 'FcYU'</x:v>
      </x:c>
      <x:c r="R317" s="20" t="str">
        <x:v>file:///root/autodl-tmp/miniwob-plusplus/miniwob/html/miniwob/click-widget.html</x:v>
      </x:c>
      <x:c r="S317" s="20" t="str">
        <x:v>Click Widget Task</x:v>
      </x:c>
      <x:c r="T317" s="20" t="str">
        <x:v>RootWebArea 'Click Widget Task', focused [14] LabelText '', clickable [15] radio 'wXufA', clickable, focused, checked='true' StaticText 'wXufA' [17] button 'LuFU7' [19] textbox '' value='LBQD', clickable StaticText 'LBQD' [21] button '1P' [23] button 'FcYU'</x:v>
      </x:c>
      <x:c r="U317" s="6" t="str">
        <x:v>0</x:v>
      </x:c>
      <x:c r="V317" s="6" t="str">
        <x:v>0</x:v>
      </x:c>
      <x:c r="W317" s="6" t="str">
        <x:v>0</x:v>
      </x:c>
      <x:c r="X317" s="6" t="str">
        <x:v>1</x:v>
      </x:c>
      <x:c r="Y317" s="6" t="str">
        <x:v>0</x:v>
      </x:c>
      <x:c r="Z317" s="6" t="str">
        <x:v>1</x:v>
      </x:c>
      <x:c r="AA317" s="6" t="str">
        <x:v>0.0</x:v>
      </x:c>
      <x:c r="AB317" s="20" t="str">
        <x:v>Codex证据复核v1：原始记录唯一匹配、环境实测、反事实配对ID完整、终止且非成功、奖励非正、队列标签与结果派生规则一致；非人工签字。</x:v>
      </x:c>
    </x:row>
    <x:row r="318" ht="46" customHeight="1">
      <x:c r="A318" s="6" t="str">
        <x:v>1</x:v>
      </x:c>
      <x:c r="B318" s="6" t="str">
        <x:v>44afa4ab2d538772530e</x:v>
      </x:c>
      <x:c r="C318" s="6" t="str">
        <x:v>evidence_approved</x:v>
      </x:c>
      <x:c r="D318" s="6" t="str">
        <x:v>codex-evidence-review-v1</x:v>
      </x:c>
      <x:c r="E318" s="22" t="n">
        <x:v>46244.40206471065</x:v>
      </x:c>
      <x:c r="F318" s="6" t="str">
        <x:v>20</x:v>
      </x:c>
      <x:c r="G318" s="20" t="str">
        <x:v>observed_counterfactual;severe_failure;terminal</x:v>
      </x:c>
      <x:c r="H318" s="20" t="str">
        <x:v>browsergym/miniwob.enter-password</x:v>
      </x:c>
      <x:c r="I318" s="6" t="str">
        <x:v>browsergym/miniwob.enter-password</x:v>
      </x:c>
      <x:c r="J318" s="6" t="str">
        <x:v>cf-enter-password-seed1030-hard_wrong_target</x:v>
      </x:c>
      <x:c r="K318" s="6" t="str">
        <x:v>0</x:v>
      </x:c>
      <x:c r="L318" s="20" t="str">
        <x:v>Enter the password "ztp" into both text fields and press submit.</x:v>
      </x:c>
      <x:c r="M318" s="20" t="str">
        <x:v>click("20", "left")</x:v>
      </x:c>
      <x:c r="N318" s="6" t="str">
        <x:v>0.0</x:v>
      </x:c>
      <x:c r="O318" s="20" t="str">
        <x:v>file:///root/autodl-tmp/miniwob-plusplus/miniwob/html/miniwob/enter-password.html</x:v>
      </x:c>
      <x:c r="P318" s="20" t="str">
        <x:v>Enter Password Task</x:v>
      </x:c>
      <x:c r="Q318" s="20" t="str">
        <x:v>RootWebArea 'Enter Password Task', focused [14] paragraph '' [15] LabelText '' StaticText 'Password' [16] textbox '', clickable [17] paragraph '' [18] LabelText '' StaticText 'Verify password' [19] textbox '', clickable [20] button 'Submit', clickable</x:v>
      </x:c>
      <x:c r="R318" s="20" t="str">
        <x:v>file:///root/autodl-tmp/miniwob-plusplus/miniwob/html/miniwob/enter-password.html</x:v>
      </x:c>
      <x:c r="S318" s="20" t="str">
        <x:v>Enter Password Task</x:v>
      </x:c>
      <x:c r="T318" s="20" t="str">
        <x:v>RootWebArea 'Enter Password Task', focused [14] paragraph '' [15] LabelText '' StaticText 'Password' [16] textbox '', clickable [17] paragraph '' [18] LabelText '' StaticText 'Verify password' [19] textbox '', clickable [20] button 'Submit', clickable, focused</x:v>
      </x:c>
      <x:c r="U318" s="6" t="str">
        <x:v>0</x:v>
      </x:c>
      <x:c r="V318" s="6" t="str">
        <x:v>0</x:v>
      </x:c>
      <x:c r="W318" s="6" t="str">
        <x:v>0</x:v>
      </x:c>
      <x:c r="X318" s="6" t="str">
        <x:v>1</x:v>
      </x:c>
      <x:c r="Y318" s="6" t="str">
        <x:v>0</x:v>
      </x:c>
      <x:c r="Z318" s="6" t="str">
        <x:v>1</x:v>
      </x:c>
      <x:c r="AA318" s="6" t="str">
        <x:v>0.0</x:v>
      </x:c>
      <x:c r="AB318" s="20" t="str">
        <x:v>Codex证据复核v1：原始记录唯一匹配、环境实测、反事实配对ID完整、终止且非成功、奖励非正、队列标签与结果派生规则一致；非人工签字。</x:v>
      </x:c>
    </x:row>
    <x:row r="319" ht="46" customHeight="1">
      <x:c r="A319" s="6" t="str">
        <x:v>1</x:v>
      </x:c>
      <x:c r="B319" s="6" t="str">
        <x:v>ff63c8ed3e04a142a955</x:v>
      </x:c>
      <x:c r="C319" s="6" t="str">
        <x:v>evidence_approved</x:v>
      </x:c>
      <x:c r="D319" s="6" t="str">
        <x:v>codex-evidence-review-v1</x:v>
      </x:c>
      <x:c r="E319" s="22" t="n">
        <x:v>46244.40206471065</x:v>
      </x:c>
      <x:c r="F319" s="6" t="str">
        <x:v>20</x:v>
      </x:c>
      <x:c r="G319" s="20" t="str">
        <x:v>observed_counterfactual;severe_failure;terminal</x:v>
      </x:c>
      <x:c r="H319" s="20" t="str">
        <x:v>browsergym/miniwob.login-user</x:v>
      </x:c>
      <x:c r="I319" s="6" t="str">
        <x:v>browsergym/miniwob.login-user</x:v>
      </x:c>
      <x:c r="J319" s="6" t="str">
        <x:v>cf-login-user-seed1004-hard_wrong_target</x:v>
      </x:c>
      <x:c r="K319" s="6" t="str">
        <x:v>0</x:v>
      </x:c>
      <x:c r="L319" s="20" t="str">
        <x:v>Enter the username "bernardine" and the password "S67zn" into the text fields and press login.</x:v>
      </x:c>
      <x:c r="M319" s="20" t="str">
        <x:v>click("20", "left")</x:v>
      </x:c>
      <x:c r="N319" s="6" t="str">
        <x:v>0.0</x:v>
      </x:c>
      <x:c r="O319" s="20" t="str">
        <x:v>file:///root/autodl-tmp/miniwob-plusplus/miniwob/html/miniwob/login-user.html</x:v>
      </x:c>
      <x:c r="P319" s="20" t="str">
        <x:v>Login User Task</x:v>
      </x:c>
      <x:c r="Q319" s="20" t="str">
        <x:v>RootWebArea 'Login User Task', focused [14] paragraph '' [15] LabelText '' StaticText 'Username' [16] textbox '', clickable [17] paragraph '' [18] LabelText '' StaticText 'Password' [19] textbox '', clickable [20] button 'Login', clickable</x:v>
      </x:c>
      <x:c r="R319" s="20" t="str">
        <x:v>file:///root/autodl-tmp/miniwob-plusplus/miniwob/html/miniwob/login-user.html</x:v>
      </x:c>
      <x:c r="S319" s="20" t="str">
        <x:v>Login User Task</x:v>
      </x:c>
      <x:c r="T319" s="20" t="str">
        <x:v>RootWebArea 'Login User Task', focused [14] paragraph '' [15] LabelText '' StaticText 'Username' [16] textbox '', clickable [17] paragraph '' [18] LabelText '' StaticText 'Password' [19] textbox '', clickable [20] button 'Login', clickable, focused</x:v>
      </x:c>
      <x:c r="U319" s="6" t="str">
        <x:v>0</x:v>
      </x:c>
      <x:c r="V319" s="6" t="str">
        <x:v>0</x:v>
      </x:c>
      <x:c r="W319" s="6" t="str">
        <x:v>0</x:v>
      </x:c>
      <x:c r="X319" s="6" t="str">
        <x:v>1</x:v>
      </x:c>
      <x:c r="Y319" s="6" t="str">
        <x:v>0</x:v>
      </x:c>
      <x:c r="Z319" s="6" t="str">
        <x:v>1</x:v>
      </x:c>
      <x:c r="AA319" s="6" t="str">
        <x:v>0.0</x:v>
      </x:c>
      <x:c r="AB319" s="20" t="str">
        <x:v>Codex证据复核v1：原始记录唯一匹配、环境实测、反事实配对ID完整、终止且非成功、奖励非正、队列标签与结果派生规则一致；非人工签字。</x:v>
      </x:c>
    </x:row>
    <x:row r="320" ht="46" customHeight="1">
      <x:c r="A320" s="6" t="str">
        <x:v>1</x:v>
      </x:c>
      <x:c r="B320" s="6" t="str">
        <x:v>f31b33905da044d8238d</x:v>
      </x:c>
      <x:c r="C320" s="6" t="str">
        <x:v>evidence_approved</x:v>
      </x:c>
      <x:c r="D320" s="6" t="str">
        <x:v>codex-evidence-review-v1</x:v>
      </x:c>
      <x:c r="E320" s="22" t="n">
        <x:v>46244.40206471065</x:v>
      </x:c>
      <x:c r="F320" s="6" t="str">
        <x:v>20</x:v>
      </x:c>
      <x:c r="G320" s="20" t="str">
        <x:v>observed_counterfactual;severe_failure;terminal</x:v>
      </x:c>
      <x:c r="H320" s="20" t="str">
        <x:v>browsergym/miniwob.enter-text-dynamic</x:v>
      </x:c>
      <x:c r="I320" s="6" t="str">
        <x:v>browsergym/miniwob.enter-text-dynamic</x:v>
      </x:c>
      <x:c r="J320" s="6" t="str">
        <x:v>cf-enter-text-dynamic-seed1036-hard_wrong_target</x:v>
      </x:c>
      <x:c r="K320" s="6" t="str">
        <x:v>0</x:v>
      </x:c>
      <x:c r="L320" s="20" t="str">
        <x:v>Enter "OE" into the text field and press Submit.</x:v>
      </x:c>
      <x:c r="M320" s="20" t="str">
        <x:v>click("15", "left")</x:v>
      </x:c>
      <x:c r="N320" s="6" t="str">
        <x:v>0.0</x:v>
      </x:c>
      <x:c r="O320" s="20" t="str">
        <x:v>file:///root/autodl-tmp/miniwob-plusplus/miniwob/html/miniwob/enter-text-dynamic.html</x:v>
      </x:c>
      <x:c r="P320" s="20" t="str">
        <x:v>Enter Dynamic Text Task</x:v>
      </x:c>
      <x:c r="Q320" s="20" t="str">
        <x:v>RootWebArea 'Enter Dynamic Text Task', focused [14] textbox '', clickable [15] button 'Submit', clickable</x:v>
      </x:c>
      <x:c r="R320" s="20" t="str">
        <x:v>file:///root/autodl-tmp/miniwob-plusplus/miniwob/html/miniwob/enter-text-dynamic.html</x:v>
      </x:c>
      <x:c r="S320" s="20" t="str">
        <x:v>Enter Dynamic Text Task</x:v>
      </x:c>
      <x:c r="T320" s="20" t="str">
        <x:v>RootWebArea 'Enter Dynamic Text Task', focused [14] textbox '', clickable [15] button 'Submit', clickable, focused</x:v>
      </x:c>
      <x:c r="U320" s="6" t="str">
        <x:v>0</x:v>
      </x:c>
      <x:c r="V320" s="6" t="str">
        <x:v>0</x:v>
      </x:c>
      <x:c r="W320" s="6" t="str">
        <x:v>0</x:v>
      </x:c>
      <x:c r="X320" s="6" t="str">
        <x:v>1</x:v>
      </x:c>
      <x:c r="Y320" s="6" t="str">
        <x:v>0</x:v>
      </x:c>
      <x:c r="Z320" s="6" t="str">
        <x:v>1</x:v>
      </x:c>
      <x:c r="AA320" s="6" t="str">
        <x:v>0.0</x:v>
      </x:c>
      <x:c r="AB320" s="20" t="str">
        <x:v>Codex证据复核v1：原始记录唯一匹配、环境实测、反事实配对ID完整、终止且非成功、奖励非正、队列标签与结果派生规则一致；非人工签字。</x:v>
      </x:c>
    </x:row>
    <x:row r="321" ht="46" customHeight="1">
      <x:c r="A321" s="6" t="str">
        <x:v>1</x:v>
      </x:c>
      <x:c r="B321" s="6" t="str">
        <x:v>8f87f4cef7e2763e037a</x:v>
      </x:c>
      <x:c r="C321" s="6" t="str">
        <x:v>evidence_approved</x:v>
      </x:c>
      <x:c r="D321" s="6" t="str">
        <x:v>codex-evidence-review-v1</x:v>
      </x:c>
      <x:c r="E321" s="22" t="n">
        <x:v>46244.40206471065</x:v>
      </x:c>
      <x:c r="F321" s="6" t="str">
        <x:v>20</x:v>
      </x:c>
      <x:c r="G321" s="20" t="str">
        <x:v>observed_counterfactual;severe_failure;terminal</x:v>
      </x:c>
      <x:c r="H321" s="20" t="str">
        <x:v>browsergym/miniwob.click-dialog-2</x:v>
      </x:c>
      <x:c r="I321" s="6" t="str">
        <x:v>browsergym/miniwob.click-dialog-2</x:v>
      </x:c>
      <x:c r="J321" s="6" t="str">
        <x:v>cf-click-dialog-2-seed1008-hard_wrong_target</x:v>
      </x:c>
      <x:c r="K321" s="6" t="str">
        <x:v>0</x:v>
      </x:c>
      <x:c r="L321" s="20" t="str">
        <x:v>Click the button in the dialog box labeled "OK".</x:v>
      </x:c>
      <x:c r="M321" s="20" t="str">
        <x:v>click("27", "left")</x:v>
      </x:c>
      <x:c r="N321" s="6" t="str">
        <x:v>0.0</x:v>
      </x:c>
      <x:c r="O321" s="20" t="str">
        <x:v>file:///root/autodl-tmp/miniwob-plusplus/miniwob/html/miniwob/click-dialog-2.html</x:v>
      </x:c>
      <x:c r="P321" s="20" t="str">
        <x:v>Click Dialog Task</x:v>
      </x:c>
      <x:c r="Q321" s="20" t="str">
        <x:v>RootWebArea 'Click Dialog Task', focused [17] dialog '', clickable, modal=False, describedby='dialog' StaticText '' [20] button 'Close', clickable [24] paragraph '' StaticText 'Eu non id amet,. Ipsum lectus. Feugiat.' [27] button 'Cancel', clickable, focused [28] button 'OK', clickable</x:v>
      </x:c>
      <x:c r="R321" s="20" t="str">
        <x:v>file:///root/autodl-tmp/miniwob-plusplus/miniwob/html/miniwob/click-dialog-2.html</x:v>
      </x:c>
      <x:c r="S321" s="20" t="str">
        <x:v>Click Dialog Task</x:v>
      </x:c>
      <x:c r="T321" s="20" t="str">
        <x:v>RootWebArea 'Click Dialog Task', focused [17] dialog '', clickable, modal=False, describedby='dialog' StaticText '' [20] button 'Close', clickable [24] paragraph '' StaticText 'Eu non id amet,. Ipsum lectus. Feugiat.' [27] button 'Cancel', clickable, focused [28] button 'OK', clickable</x:v>
      </x:c>
      <x:c r="U321" s="6" t="str">
        <x:v>0</x:v>
      </x:c>
      <x:c r="V321" s="6" t="str">
        <x:v>0</x:v>
      </x:c>
      <x:c r="W321" s="6" t="str">
        <x:v>0</x:v>
      </x:c>
      <x:c r="X321" s="6" t="str">
        <x:v>1</x:v>
      </x:c>
      <x:c r="Y321" s="6" t="str">
        <x:v>0</x:v>
      </x:c>
      <x:c r="Z321" s="6" t="str">
        <x:v>1</x:v>
      </x:c>
      <x:c r="AA321" s="6" t="str">
        <x:v>0.0</x:v>
      </x:c>
      <x:c r="AB321" s="20" t="str">
        <x:v>Codex证据复核v1：原始记录唯一匹配、环境实测、反事实配对ID完整、终止且非成功、奖励非正、队列标签与结果派生规则一致；非人工签字。</x:v>
      </x:c>
    </x:row>
    <x:row r="322" ht="46" customHeight="1">
      <x:c r="A322" s="6" t="str">
        <x:v>1</x:v>
      </x:c>
      <x:c r="B322" s="6" t="str">
        <x:v>6c9a179e770a6dad6bf7</x:v>
      </x:c>
      <x:c r="C322" s="6" t="str">
        <x:v>evidence_approved</x:v>
      </x:c>
      <x:c r="D322" s="6" t="str">
        <x:v>codex-evidence-review-v1</x:v>
      </x:c>
      <x:c r="E322" s="22" t="n">
        <x:v>46244.40206471065</x:v>
      </x:c>
      <x:c r="F322" s="6" t="str">
        <x:v>20</x:v>
      </x:c>
      <x:c r="G322" s="20" t="str">
        <x:v>observed_counterfactual;severe_failure;terminal</x:v>
      </x:c>
      <x:c r="H322" s="20" t="str">
        <x:v>browsergym/miniwob.click-scroll-list</x:v>
      </x:c>
      <x:c r="I322" s="6" t="str">
        <x:v>browsergym/miniwob.click-scroll-list</x:v>
      </x:c>
      <x:c r="J322" s="6" t="str">
        <x:v>cf-click-scroll-list-seed1029-hard_wrong_target</x:v>
      </x:c>
      <x:c r="K322" s="6" t="str">
        <x:v>0</x:v>
      </x:c>
      <x:c r="L322" s="20" t="str">
        <x:v>Select Caritta from the scroll list and click Submit.</x:v>
      </x:c>
      <x:c r="M322" s="20" t="str">
        <x:v>click("24", "left")</x:v>
      </x:c>
      <x:c r="N322" s="6" t="str">
        <x:v>0.0</x:v>
      </x:c>
      <x:c r="O322" s="20" t="str">
        <x:v>file:///root/autodl-tmp/miniwob-plusplus/miniwob/html/miniwob/click-scroll-list.html</x:v>
      </x:c>
      <x:c r="P322" s="20" t="str">
        <x:v>Choose List Task</x:v>
      </x:c>
      <x:c r="Q322" s="20" t="str">
        <x:v>RootWebArea 'Choose List Task', focused [13] listbox '', multiselectable=True, orientation='vertical' [14] option '', selected=False [15] option '', selected=False [16] option '', selected=False [17] option '', selected=False [18] option '', selected=False [24] button 'Submit', clickable</x:v>
      </x:c>
      <x:c r="R322" s="20" t="str">
        <x:v>file:///root/autodl-tmp/miniwob-plusplus/miniwob/html/miniwob/click-scroll-list.html</x:v>
      </x:c>
      <x:c r="S322" s="20" t="str">
        <x:v>Choose List Task</x:v>
      </x:c>
      <x:c r="T322" s="20" t="str">
        <x:v>RootWebArea 'Choose List Task', focused [13] listbox '', multiselectable=True, orientation='vertical' [14] option '', selected=False [15] option '', selected=False [16] option '', selected=False [17] option '', selected=False [18] option '', selected=False [24] button 'Submit', clickable, focused</x:v>
      </x:c>
      <x:c r="U322" s="6" t="str">
        <x:v>0</x:v>
      </x:c>
      <x:c r="V322" s="6" t="str">
        <x:v>0</x:v>
      </x:c>
      <x:c r="W322" s="6" t="str">
        <x:v>0</x:v>
      </x:c>
      <x:c r="X322" s="6" t="str">
        <x:v>1</x:v>
      </x:c>
      <x:c r="Y322" s="6" t="str">
        <x:v>0</x:v>
      </x:c>
      <x:c r="Z322" s="6" t="str">
        <x:v>1</x:v>
      </x:c>
      <x:c r="AA322" s="6" t="str">
        <x:v>0.0</x:v>
      </x:c>
      <x:c r="AB322" s="20" t="str">
        <x:v>Codex证据复核v1：原始记录唯一匹配、环境实测、反事实配对ID完整、终止且非成功、奖励非正、队列标签与结果派生规则一致；非人工签字。</x:v>
      </x:c>
    </x:row>
    <x:row r="323" ht="46" customHeight="1">
      <x:c r="A323" s="6" t="str">
        <x:v>1</x:v>
      </x:c>
      <x:c r="B323" s="6" t="str">
        <x:v>2058d5491a2af189055a</x:v>
      </x:c>
      <x:c r="C323" s="6" t="str">
        <x:v>evidence_approved</x:v>
      </x:c>
      <x:c r="D323" s="6" t="str">
        <x:v>codex-evidence-review-v1</x:v>
      </x:c>
      <x:c r="E323" s="22" t="n">
        <x:v>46244.40206471065</x:v>
      </x:c>
      <x:c r="F323" s="6" t="str">
        <x:v>20</x:v>
      </x:c>
      <x:c r="G323" s="20" t="str">
        <x:v>observed_counterfactual;severe_failure;terminal</x:v>
      </x:c>
      <x:c r="H323" s="20" t="str">
        <x:v>browsergym/miniwob.click-widget</x:v>
      </x:c>
      <x:c r="I323" s="6" t="str">
        <x:v>browsergym/miniwob.click-widget</x:v>
      </x:c>
      <x:c r="J323" s="6" t="str">
        <x:v>cf-click-widget-seed1037-hard_wrong_target</x:v>
      </x:c>
      <x:c r="K323" s="6" t="str">
        <x:v>0</x:v>
      </x:c>
      <x:c r="L323" s="20" t="str">
        <x:v>Click on a "text" widget.</x:v>
      </x:c>
      <x:c r="M323" s="20" t="str">
        <x:v>click("15", "left")</x:v>
      </x:c>
      <x:c r="N323" s="6" t="str">
        <x:v>0.0</x:v>
      </x:c>
      <x:c r="O323" s="20" t="str">
        <x:v>file:///root/autodl-tmp/miniwob-plusplus/miniwob/html/miniwob/click-widget.html</x:v>
      </x:c>
      <x:c r="P323" s="20" t="str">
        <x:v>Click Widget Task</x:v>
      </x:c>
      <x:c r="Q323" s="20" t="str">
        <x:v>RootWebArea 'Click Widget Task', focused [14] LabelText '', clickable [15] checkbox 'vLi', clickable, checked='false' StaticText 'vLi' [17] button 'gl' [19] textbox '' value='4oc', clickable StaticText '4oc' [21] textbox '' value='Ncd', clickable StaticText 'Ncd' [23] textbox '' value='zU', clickable StaticText 'zU'</x:v>
      </x:c>
      <x:c r="R323" s="20" t="str">
        <x:v>file:///root/autodl-tmp/miniwob-plusplus/miniwob/html/miniwob/click-widget.html</x:v>
      </x:c>
      <x:c r="S323" s="20" t="str">
        <x:v>Click Widget Task</x:v>
      </x:c>
      <x:c r="T323" s="20" t="str">
        <x:v>RootWebArea 'Click Widget Task', focused [14] LabelText '', clickable [15] checkbox 'vLi', clickable, focused, checked='true' StaticText 'vLi' [17] button 'gl' [19] textbox '' value='4oc', clickable StaticText '4oc' [21] textbox '' value='Ncd', clickable StaticText 'Ncd' [23] textbox '' value='zU', clickable StaticText 'zU'</x:v>
      </x:c>
      <x:c r="U323" s="6" t="str">
        <x:v>0</x:v>
      </x:c>
      <x:c r="V323" s="6" t="str">
        <x:v>0</x:v>
      </x:c>
      <x:c r="W323" s="6" t="str">
        <x:v>0</x:v>
      </x:c>
      <x:c r="X323" s="6" t="str">
        <x:v>1</x:v>
      </x:c>
      <x:c r="Y323" s="6" t="str">
        <x:v>0</x:v>
      </x:c>
      <x:c r="Z323" s="6" t="str">
        <x:v>1</x:v>
      </x:c>
      <x:c r="AA323" s="6" t="str">
        <x:v>0.0</x:v>
      </x:c>
      <x:c r="AB323" s="20" t="str">
        <x:v>Codex证据复核v1：原始记录唯一匹配、环境实测、反事实配对ID完整、终止且非成功、奖励非正、队列标签与结果派生规则一致；非人工签字。</x:v>
      </x:c>
    </x:row>
    <x:row r="324" ht="46" customHeight="1">
      <x:c r="A324" s="6" t="str">
        <x:v>1</x:v>
      </x:c>
      <x:c r="B324" s="6" t="str">
        <x:v>e8fee7cefb869edbb440</x:v>
      </x:c>
      <x:c r="C324" s="6" t="str">
        <x:v>evidence_approved</x:v>
      </x:c>
      <x:c r="D324" s="6" t="str">
        <x:v>codex-evidence-review-v1</x:v>
      </x:c>
      <x:c r="E324" s="22" t="n">
        <x:v>46244.40206471065</x:v>
      </x:c>
      <x:c r="F324" s="6" t="str">
        <x:v>20</x:v>
      </x:c>
      <x:c r="G324" s="20" t="str">
        <x:v>observed_counterfactual;severe_failure;terminal</x:v>
      </x:c>
      <x:c r="H324" s="20" t="str">
        <x:v>browsergym/miniwob.click-checkboxes-soft</x:v>
      </x:c>
      <x:c r="I324" s="6" t="str">
        <x:v>browsergym/miniwob.click-checkboxes-soft</x:v>
      </x:c>
      <x:c r="J324" s="6" t="str">
        <x:v>cf-click-checkboxes-soft-seed1027-hard_wrong_target</x:v>
      </x:c>
      <x:c r="K324" s="6" t="str">
        <x:v>0</x:v>
      </x:c>
      <x:c r="L324" s="20" t="str">
        <x:v>Select words similar to vehicle, hate, sustain and click Submit.</x:v>
      </x:c>
      <x:c r="M324" s="20" t="str">
        <x:v>click("36", "left")</x:v>
      </x:c>
      <x:c r="N324" s="6" t="str">
        <x:v>0.0</x:v>
      </x:c>
      <x:c r="O324" s="20" t="str">
        <x:v>file:///root/autodl-tmp/miniwob-plusplus/miniwob/html/miniwob/click-checkboxes-soft.html</x:v>
      </x:c>
      <x:c r="P324" s="20" t="str">
        <x:v>Click Checkboxes Task</x:v>
      </x:c>
      <x:c r="Q324" s="20" t="str">
        <x:v>RootWebArea 'Click Checkboxes Task', focused [17] LabelText '', clickable [18] checkbox 'loathe', clickable, checked='false' StaticText 'loathe' [20] LabelText '', clickable [21] checkbox 'incorrect', clickable, checked='false' StaticText 'incorrect' [23] LabelText '', clickable [24] checkbox 'angry', clickable, checked='false' StaticText 'angry' [26] LabelText '', clickable [27] checkbox 'automobiles', clickable, checked='false' StaticText 'automobiles' [29] LabelText '', clickable [30] checkbox 'unwise', clickable, checked='false' StaticText 'unwise' [32] LabelText '', clickable [33] checkbox 'preserve', clickable, checked='false' StaticText 'preserve' [36] button 'Submit', clickable</x:v>
      </x:c>
      <x:c r="R324" s="20" t="str">
        <x:v>file:///root/autodl-tmp/miniwob-plusplus/miniwob/html/miniwob/click-checkboxes-soft.html</x:v>
      </x:c>
      <x:c r="S324" s="20" t="str">
        <x:v>Click Checkboxes Task</x:v>
      </x:c>
      <x:c r="T324" s="20" t="str">
        <x:v>RootWebArea 'Click Checkboxes Task', focused [17] LabelText '', clickable [18] checkbox 'loathe', clickable, checked='false' StaticText 'loathe' [20] LabelText '', clickable [21] checkbox 'incorrect', clickable, checked='false' StaticText 'incorrect' [23] LabelText '', clickable [24] checkbox 'angry', clickable, checked='false' StaticText 'angry' [26] LabelText '', clickable [27] checkbox 'automobiles', clickable, checked='false' StaticText 'automobiles' [29] LabelText '', clickable [30] checkbox 'unwise', clickable, checked='false' StaticText 'unwise' [32] LabelText '', clickable [33] checkbox 'preserve', clickable, checked='false' StaticText 'preserve' [36] button 'Submit', clickable, focused</x:v>
      </x:c>
      <x:c r="U324" s="6" t="str">
        <x:v>0</x:v>
      </x:c>
      <x:c r="V324" s="6" t="str">
        <x:v>0</x:v>
      </x:c>
      <x:c r="W324" s="6" t="str">
        <x:v>0</x:v>
      </x:c>
      <x:c r="X324" s="6" t="str">
        <x:v>1</x:v>
      </x:c>
      <x:c r="Y324" s="6" t="str">
        <x:v>0</x:v>
      </x:c>
      <x:c r="Z324" s="6" t="str">
        <x:v>1</x:v>
      </x:c>
      <x:c r="AA324" s="6" t="str">
        <x:v>0.0</x:v>
      </x:c>
      <x:c r="AB324" s="20" t="str">
        <x:v>Codex证据复核v1：原始记录唯一匹配、环境实测、反事实配对ID完整、终止且非成功、奖励非正、队列标签与结果派生规则一致；非人工签字。</x:v>
      </x:c>
    </x:row>
    <x:row r="325" ht="46" customHeight="1">
      <x:c r="A325" s="6" t="str">
        <x:v>1</x:v>
      </x:c>
      <x:c r="B325" s="6" t="str">
        <x:v>1868769c7e90a1fb7f36</x:v>
      </x:c>
      <x:c r="C325" s="6" t="str">
        <x:v>evidence_approved</x:v>
      </x:c>
      <x:c r="D325" s="6" t="str">
        <x:v>codex-evidence-review-v1</x:v>
      </x:c>
      <x:c r="E325" s="22" t="n">
        <x:v>46244.40206471065</x:v>
      </x:c>
      <x:c r="F325" s="6" t="str">
        <x:v>20</x:v>
      </x:c>
      <x:c r="G325" s="20" t="str">
        <x:v>observed_counterfactual;severe_failure;terminal</x:v>
      </x:c>
      <x:c r="H325" s="20" t="str">
        <x:v>browsergym/miniwob.click-dialog-2</x:v>
      </x:c>
      <x:c r="I325" s="6" t="str">
        <x:v>browsergym/miniwob.click-dialog-2</x:v>
      </x:c>
      <x:c r="J325" s="6" t="str">
        <x:v>cf-click-dialog-2-seed1002-missing_target</x:v>
      </x:c>
      <x:c r="K325" s="6" t="str">
        <x:v>0</x:v>
      </x:c>
      <x:c r="L325" s="20" t="str">
        <x:v>Click the button in the dialog box labeled "x".</x:v>
      </x:c>
      <x:c r="M325" s="20" t="str">
        <x:v>click("28", "left")</x:v>
      </x:c>
      <x:c r="N325" s="6" t="str">
        <x:v>0.0</x:v>
      </x:c>
      <x:c r="O325" s="20" t="str">
        <x:v>file:///root/autodl-tmp/miniwob-plusplus/miniwob/html/miniwob/click-dialog-2.html</x:v>
      </x:c>
      <x:c r="P325" s="20" t="str">
        <x:v>Click Dialog Task</x:v>
      </x:c>
      <x:c r="Q325" s="20" t="str">
        <x:v>RootWebArea 'Click Dialog Task', focused [17] dialog '', clickable, modal=False, describedby='dialog' StaticText '' [20] button 'Close', clickable [24] paragraph '' StaticText 'In. Vel convallis ligula. Faucibus. Ornare.' [27] button 'Cancel', clickable, focused [28] button 'OK', clickable</x:v>
      </x:c>
      <x:c r="R325" s="20" t="str">
        <x:v>file:///root/autodl-tmp/miniwob-plusplus/miniwob/html/miniwob/click-dialog-2.html</x:v>
      </x:c>
      <x:c r="S325" s="20" t="str">
        <x:v>Click Dialog Task</x:v>
      </x:c>
      <x:c r="T325" s="20" t="str">
        <x:v>RootWebArea 'Click Dialog Task', focused [17] dialog '', clickable, modal=False, describedby='dialog' StaticText '' [20] button 'Close', clickable [24] paragraph '' StaticText 'In. Vel convallis ligula. Faucibus. Ornare.' [27] button 'Cancel', clickable [28] button 'OK', clickable, focused</x:v>
      </x:c>
      <x:c r="U325" s="6" t="str">
        <x:v>0</x:v>
      </x:c>
      <x:c r="V325" s="6" t="str">
        <x:v>0</x:v>
      </x:c>
      <x:c r="W325" s="6" t="str">
        <x:v>0</x:v>
      </x:c>
      <x:c r="X325" s="6" t="str">
        <x:v>1</x:v>
      </x:c>
      <x:c r="Y325" s="6" t="str">
        <x:v>0</x:v>
      </x:c>
      <x:c r="Z325" s="6" t="str">
        <x:v>1</x:v>
      </x:c>
      <x:c r="AA325" s="6" t="str">
        <x:v>0.0</x:v>
      </x:c>
      <x:c r="AB325" s="20" t="str">
        <x:v>Codex证据复核v1：原始记录唯一匹配、环境实测、反事实配对ID完整、终止且非成功、奖励非正、队列标签与结果派生规则一致；非人工签字。</x:v>
      </x:c>
    </x:row>
    <x:row r="326" ht="46" customHeight="1">
      <x:c r="A326" s="6" t="str">
        <x:v>1</x:v>
      </x:c>
      <x:c r="B326" s="6" t="str">
        <x:v>68ba8a532480d88ad47c</x:v>
      </x:c>
      <x:c r="C326" s="6" t="str">
        <x:v>evidence_approved</x:v>
      </x:c>
      <x:c r="D326" s="6" t="str">
        <x:v>codex-evidence-review-v1</x:v>
      </x:c>
      <x:c r="E326" s="22" t="n">
        <x:v>46244.40206471065</x:v>
      </x:c>
      <x:c r="F326" s="6" t="str">
        <x:v>20</x:v>
      </x:c>
      <x:c r="G326" s="20" t="str">
        <x:v>observed_counterfactual;severe_failure;terminal</x:v>
      </x:c>
      <x:c r="H326" s="20" t="str">
        <x:v>browsergym/miniwob.click-dialog-2</x:v>
      </x:c>
      <x:c r="I326" s="6" t="str">
        <x:v>browsergym/miniwob.click-dialog-2</x:v>
      </x:c>
      <x:c r="J326" s="6" t="str">
        <x:v>cf-click-dialog-2-seed1030-wrong_action_type</x:v>
      </x:c>
      <x:c r="K326" s="6" t="str">
        <x:v>0</x:v>
      </x:c>
      <x:c r="L326" s="20" t="str">
        <x:v>Click the button in the dialog box labeled "x".</x:v>
      </x:c>
      <x:c r="M326" s="20" t="str">
        <x:v>click("28", "left")</x:v>
      </x:c>
      <x:c r="N326" s="6" t="str">
        <x:v>0.0</x:v>
      </x:c>
      <x:c r="O326" s="20" t="str">
        <x:v>file:///root/autodl-tmp/miniwob-plusplus/miniwob/html/miniwob/click-dialog-2.html</x:v>
      </x:c>
      <x:c r="P326" s="20" t="str">
        <x:v>Click Dialog Task</x:v>
      </x:c>
      <x:c r="Q326" s="20" t="str">
        <x:v>RootWebArea 'Click Dialog Task', focused [17] dialog '', clickable, modal=False, describedby='dialog' StaticText '' [20] button 'Close', clickable [24] paragraph '' StaticText 'Vitae. Condimentum. Dictum arcu ornare.' [27] button 'Cancel', clickable, focused [28] button 'OK', clickable</x:v>
      </x:c>
      <x:c r="R326" s="20" t="str">
        <x:v>file:///root/autodl-tmp/miniwob-plusplus/miniwob/html/miniwob/click-dialog-2.html</x:v>
      </x:c>
      <x:c r="S326" s="20" t="str">
        <x:v>Click Dialog Task</x:v>
      </x:c>
      <x:c r="T326" s="20" t="str">
        <x:v>RootWebArea 'Click Dialog Task', focused [17] dialog '', clickable, modal=False, describedby='dialog' StaticText '' [20] button 'Close', clickable [24] paragraph '' StaticText 'Vitae. Condimentum. Dictum arcu ornare.' [27] button 'Cancel', clickable [28] button 'OK', clickable, focused</x:v>
      </x:c>
      <x:c r="U326" s="6" t="str">
        <x:v>0</x:v>
      </x:c>
      <x:c r="V326" s="6" t="str">
        <x:v>0</x:v>
      </x:c>
      <x:c r="W326" s="6" t="str">
        <x:v>0</x:v>
      </x:c>
      <x:c r="X326" s="6" t="str">
        <x:v>1</x:v>
      </x:c>
      <x:c r="Y326" s="6" t="str">
        <x:v>0</x:v>
      </x:c>
      <x:c r="Z326" s="6" t="str">
        <x:v>1</x:v>
      </x:c>
      <x:c r="AA326" s="6" t="str">
        <x:v>0.0</x:v>
      </x:c>
      <x:c r="AB326" s="20" t="str">
        <x:v>Codex证据复核v1：原始记录唯一匹配、环境实测、反事实配对ID完整、终止且非成功、奖励非正、队列标签与结果派生规则一致；非人工签字。</x:v>
      </x:c>
    </x:row>
    <x:row r="327" ht="46" customHeight="1">
      <x:c r="A327" s="6" t="str">
        <x:v>1</x:v>
      </x:c>
      <x:c r="B327" s="6" t="str">
        <x:v>77f483cbdf373d1d3419</x:v>
      </x:c>
      <x:c r="C327" s="6" t="str">
        <x:v>evidence_approved</x:v>
      </x:c>
      <x:c r="D327" s="6" t="str">
        <x:v>codex-evidence-review-v1</x:v>
      </x:c>
      <x:c r="E327" s="22" t="n">
        <x:v>46244.40206471065</x:v>
      </x:c>
      <x:c r="F327" s="6" t="str">
        <x:v>20</x:v>
      </x:c>
      <x:c r="G327" s="20" t="str">
        <x:v>observed_counterfactual;severe_failure;terminal</x:v>
      </x:c>
      <x:c r="H327" s="20" t="str">
        <x:v>browsergym/miniwob.click-scroll-list</x:v>
      </x:c>
      <x:c r="I327" s="6" t="str">
        <x:v>browsergym/miniwob.click-scroll-list</x:v>
      </x:c>
      <x:c r="J327" s="6" t="str">
        <x:v>cf-click-scroll-list-seed1034-hard_wrong_target</x:v>
      </x:c>
      <x:c r="K327" s="6" t="str">
        <x:v>0</x:v>
      </x:c>
      <x:c r="L327" s="20" t="str">
        <x:v>Select Jade, Dalila from the scroll list and click Submit.</x:v>
      </x:c>
      <x:c r="M327" s="20" t="str">
        <x:v>click("25", "left")</x:v>
      </x:c>
      <x:c r="N327" s="6" t="str">
        <x:v>0.0</x:v>
      </x:c>
      <x:c r="O327" s="20" t="str">
        <x:v>file:///root/autodl-tmp/miniwob-plusplus/miniwob/html/miniwob/click-scroll-list.html</x:v>
      </x:c>
      <x:c r="P327" s="20" t="str">
        <x:v>Choose List Task</x:v>
      </x:c>
      <x:c r="Q327" s="20" t="str">
        <x:v>RootWebArea 'Choose List Task', focused [13] listbox '', multiselectable=True, orientation='vertical' [14] option '', selected=False [15] option '', selected=False [16] option '', selected=False [17] option '', selected=False [18] option '', selected=False [25] button 'Submit', clickable</x:v>
      </x:c>
      <x:c r="R327" s="20" t="str">
        <x:v>file:///root/autodl-tmp/miniwob-plusplus/miniwob/html/miniwob/click-scroll-list.html</x:v>
      </x:c>
      <x:c r="S327" s="20" t="str">
        <x:v>Choose List Task</x:v>
      </x:c>
      <x:c r="T327" s="20" t="str">
        <x:v>RootWebArea 'Choose List Task', focused [13] listbox '', multiselectable=True, orientation='vertical' [14] option '', selected=False [15] option '', selected=False [16] option '', selected=False [17] option '', selected=False [18] option '', selected=False [25] button 'Submit', clickable, focused</x:v>
      </x:c>
      <x:c r="U327" s="6" t="str">
        <x:v>0</x:v>
      </x:c>
      <x:c r="V327" s="6" t="str">
        <x:v>0</x:v>
      </x:c>
      <x:c r="W327" s="6" t="str">
        <x:v>0</x:v>
      </x:c>
      <x:c r="X327" s="6" t="str">
        <x:v>1</x:v>
      </x:c>
      <x:c r="Y327" s="6" t="str">
        <x:v>0</x:v>
      </x:c>
      <x:c r="Z327" s="6" t="str">
        <x:v>1</x:v>
      </x:c>
      <x:c r="AA327" s="6" t="str">
        <x:v>0.0</x:v>
      </x:c>
      <x:c r="AB327" s="20" t="str">
        <x:v>Codex证据复核v1：原始记录唯一匹配、环境实测、反事实配对ID完整、终止且非成功、奖励非正、队列标签与结果派生规则一致；非人工签字。</x:v>
      </x:c>
    </x:row>
    <x:row r="328" ht="46" customHeight="1">
      <x:c r="A328" s="6" t="str">
        <x:v>1</x:v>
      </x:c>
      <x:c r="B328" s="6" t="str">
        <x:v>e01bc281b38e435c1543</x:v>
      </x:c>
      <x:c r="C328" s="6" t="str">
        <x:v>evidence_approved</x:v>
      </x:c>
      <x:c r="D328" s="6" t="str">
        <x:v>codex-evidence-review-v1</x:v>
      </x:c>
      <x:c r="E328" s="22" t="n">
        <x:v>46244.40206471065</x:v>
      </x:c>
      <x:c r="F328" s="6" t="str">
        <x:v>20</x:v>
      </x:c>
      <x:c r="G328" s="20" t="str">
        <x:v>observed_counterfactual;severe_failure;terminal</x:v>
      </x:c>
      <x:c r="H328" s="20" t="str">
        <x:v>browsergym/miniwob.click-tab</x:v>
      </x:c>
      <x:c r="I328" s="6" t="str">
        <x:v>browsergym/miniwob.click-tab</x:v>
      </x:c>
      <x:c r="J328" s="6" t="str">
        <x:v>cf-click-tab-seed1023-hard_wrong_target</x:v>
      </x:c>
      <x:c r="K328" s="6" t="str">
        <x:v>0</x:v>
      </x:c>
      <x:c r="L328" s="20" t="str">
        <x:v>Click on Tab #3.</x:v>
      </x:c>
      <x:c r="M328" s="20" t="str">
        <x:v>click("18", "left")</x:v>
      </x:c>
      <x:c r="N328" s="6" t="str">
        <x:v>0.0</x:v>
      </x:c>
      <x:c r="O328" s="20" t="str">
        <x:v>file:///root/autodl-tmp/miniwob-plusplus/miniwob/html/miniwob/click-tab.html</x:v>
      </x:c>
      <x:c r="P328" s="20" t="str">
        <x:v>Click Tab Task</x:v>
      </x:c>
      <x:c r="Q328"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'Sed viverra non, imperdiet dolor. In eget condimentum turpis ornare amet phasellus donec tristique elit magna massa, tortor malesuada id.'</x:v>
      </x:c>
      <x:c r="R328" s="20" t="str">
        <x:v>file:///root/autodl-tmp/miniwob-plusplus/miniwob/html/miniwob/click-tab.html</x:v>
      </x:c>
      <x:c r="S328" s="20" t="str">
        <x:v>Click Tab Task</x:v>
      </x:c>
      <x:c r="T328"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'Sed viverra non, imperdiet dolor. In eget condimentum turpis ornare amet phasellus donec tristique elit magna massa, tortor malesuada id.'</x:v>
      </x:c>
      <x:c r="U328" s="6" t="str">
        <x:v>0</x:v>
      </x:c>
      <x:c r="V328" s="6" t="str">
        <x:v>0</x:v>
      </x:c>
      <x:c r="W328" s="6" t="str">
        <x:v>0</x:v>
      </x:c>
      <x:c r="X328" s="6" t="str">
        <x:v>1</x:v>
      </x:c>
      <x:c r="Y328" s="6" t="str">
        <x:v>0</x:v>
      </x:c>
      <x:c r="Z328" s="6" t="str">
        <x:v>1</x:v>
      </x:c>
      <x:c r="AA328" s="6" t="str">
        <x:v>0.0</x:v>
      </x:c>
      <x:c r="AB328" s="20" t="str">
        <x:v>Codex证据复核v1：原始记录唯一匹配、环境实测、反事实配对ID完整、终止且非成功、奖励非正、队列标签与结果派生规则一致；非人工签字。</x:v>
      </x:c>
    </x:row>
    <x:row r="329" ht="46" customHeight="1">
      <x:c r="A329" s="6" t="str">
        <x:v>1</x:v>
      </x:c>
      <x:c r="B329" s="6" t="str">
        <x:v>47745fb7b9e3d4fc7907</x:v>
      </x:c>
      <x:c r="C329" s="6" t="str">
        <x:v>evidence_approved</x:v>
      </x:c>
      <x:c r="D329" s="6" t="str">
        <x:v>codex-evidence-review-v1</x:v>
      </x:c>
      <x:c r="E329" s="22" t="n">
        <x:v>46244.40206471065</x:v>
      </x:c>
      <x:c r="F329" s="6" t="str">
        <x:v>20</x:v>
      </x:c>
      <x:c r="G329" s="20" t="str">
        <x:v>observed_counterfactual;severe_failure;terminal</x:v>
      </x:c>
      <x:c r="H329" s="20" t="str">
        <x:v>browsergym/miniwob.enter-password</x:v>
      </x:c>
      <x:c r="I329" s="6" t="str">
        <x:v>browsergym/miniwob.enter-password</x:v>
      </x:c>
      <x:c r="J329" s="6" t="str">
        <x:v>cf-enter-password-seed1004-hard_wrong_target</x:v>
      </x:c>
      <x:c r="K329" s="6" t="str">
        <x:v>0</x:v>
      </x:c>
      <x:c r="L329" s="20" t="str">
        <x:v>Enter the password "7S6" into both text fields and press submit.</x:v>
      </x:c>
      <x:c r="M329" s="20" t="str">
        <x:v>click("20", "left")</x:v>
      </x:c>
      <x:c r="N329" s="6" t="str">
        <x:v>0.0</x:v>
      </x:c>
      <x:c r="O329" s="20" t="str">
        <x:v>file:///root/autodl-tmp/miniwob-plusplus/miniwob/html/miniwob/enter-password.html</x:v>
      </x:c>
      <x:c r="P329" s="20" t="str">
        <x:v>Enter Password Task</x:v>
      </x:c>
      <x:c r="Q329" s="20" t="str">
        <x:v>RootWebArea 'Enter Password Task', focused [14] paragraph '' [15] LabelText '' StaticText 'Password' [16] textbox '', clickable [17] paragraph '' [18] LabelText '' StaticText 'Verify password' [19] textbox '', clickable [20] button 'Submit', clickable</x:v>
      </x:c>
      <x:c r="R329" s="20" t="str">
        <x:v>file:///root/autodl-tmp/miniwob-plusplus/miniwob/html/miniwob/enter-password.html</x:v>
      </x:c>
      <x:c r="S329" s="20" t="str">
        <x:v>Enter Password Task</x:v>
      </x:c>
      <x:c r="T329" s="20" t="str">
        <x:v>RootWebArea 'Enter Password Task', focused [14] paragraph '' [15] LabelText '' StaticText 'Password' [16] textbox '', clickable [17] paragraph '' [18] LabelText '' StaticText 'Verify password' [19] textbox '', clickable [20] button 'Submit', clickable, focused</x:v>
      </x:c>
      <x:c r="U329" s="6" t="str">
        <x:v>0</x:v>
      </x:c>
      <x:c r="V329" s="6" t="str">
        <x:v>0</x:v>
      </x:c>
      <x:c r="W329" s="6" t="str">
        <x:v>0</x:v>
      </x:c>
      <x:c r="X329" s="6" t="str">
        <x:v>1</x:v>
      </x:c>
      <x:c r="Y329" s="6" t="str">
        <x:v>0</x:v>
      </x:c>
      <x:c r="Z329" s="6" t="str">
        <x:v>1</x:v>
      </x:c>
      <x:c r="AA329" s="6" t="str">
        <x:v>0.0</x:v>
      </x:c>
      <x:c r="AB329" s="20" t="str">
        <x:v>Codex证据复核v1：原始记录唯一匹配、环境实测、反事实配对ID完整、终止且非成功、奖励非正、队列标签与结果派生规则一致；非人工签字。</x:v>
      </x:c>
    </x:row>
    <x:row r="330" ht="46" customHeight="1">
      <x:c r="A330" s="6" t="str">
        <x:v>1</x:v>
      </x:c>
      <x:c r="B330" s="6" t="str">
        <x:v>e39d7a1113af82be0b4b</x:v>
      </x:c>
      <x:c r="C330" s="6" t="str">
        <x:v>evidence_approved</x:v>
      </x:c>
      <x:c r="D330" s="6" t="str">
        <x:v>codex-evidence-review-v1</x:v>
      </x:c>
      <x:c r="E330" s="22" t="n">
        <x:v>46244.40206471065</x:v>
      </x:c>
      <x:c r="F330" s="6" t="str">
        <x:v>20</x:v>
      </x:c>
      <x:c r="G330" s="20" t="str">
        <x:v>observed_counterfactual;severe_failure;terminal</x:v>
      </x:c>
      <x:c r="H330" s="20" t="str">
        <x:v>browsergym/miniwob.login-user</x:v>
      </x:c>
      <x:c r="I330" s="6" t="str">
        <x:v>browsergym/miniwob.login-user</x:v>
      </x:c>
      <x:c r="J330" s="6" t="str">
        <x:v>cf-login-user-seed1024-hard_wrong_target</x:v>
      </x:c>
      <x:c r="K330" s="6" t="str">
        <x:v>0</x:v>
      </x:c>
      <x:c r="L330" s="20" t="str">
        <x:v>Enter the username "keneth" and the password "Ur" into the text fields and press login.</x:v>
      </x:c>
      <x:c r="M330" s="20" t="str">
        <x:v>click("20", "left")</x:v>
      </x:c>
      <x:c r="N330" s="6" t="str">
        <x:v>0.0</x:v>
      </x:c>
      <x:c r="O330" s="20" t="str">
        <x:v>file:///root/autodl-tmp/miniwob-plusplus/miniwob/html/miniwob/login-user.html</x:v>
      </x:c>
      <x:c r="P330" s="20" t="str">
        <x:v>Login User Task</x:v>
      </x:c>
      <x:c r="Q330" s="20" t="str">
        <x:v>RootWebArea 'Login User Task', focused [14] paragraph '' [15] LabelText '' StaticText 'Username' [16] textbox '', clickable [17] paragraph '' [18] LabelText '' StaticText 'Password' [19] textbox '', clickable [20] button 'Login', clickable</x:v>
      </x:c>
      <x:c r="R330" s="20" t="str">
        <x:v>file:///root/autodl-tmp/miniwob-plusplus/miniwob/html/miniwob/login-user.html</x:v>
      </x:c>
      <x:c r="S330" s="20" t="str">
        <x:v>Login User Task</x:v>
      </x:c>
      <x:c r="T330" s="20" t="str">
        <x:v>RootWebArea 'Login User Task', focused [14] paragraph '' [15] LabelText '' StaticText 'Username' [16] textbox '', clickable [17] paragraph '' [18] LabelText '' StaticText 'Password' [19] textbox '', clickable [20] button 'Login', clickable, focused</x:v>
      </x:c>
      <x:c r="U330" s="6" t="str">
        <x:v>0</x:v>
      </x:c>
      <x:c r="V330" s="6" t="str">
        <x:v>0</x:v>
      </x:c>
      <x:c r="W330" s="6" t="str">
        <x:v>0</x:v>
      </x:c>
      <x:c r="X330" s="6" t="str">
        <x:v>1</x:v>
      </x:c>
      <x:c r="Y330" s="6" t="str">
        <x:v>0</x:v>
      </x:c>
      <x:c r="Z330" s="6" t="str">
        <x:v>1</x:v>
      </x:c>
      <x:c r="AA330" s="6" t="str">
        <x:v>0.0</x:v>
      </x:c>
      <x:c r="AB330" s="20" t="str">
        <x:v>Codex证据复核v1：原始记录唯一匹配、环境实测、反事实配对ID完整、终止且非成功、奖励非正、队列标签与结果派生规则一致；非人工签字。</x:v>
      </x:c>
    </x:row>
    <x:row r="331" ht="46" customHeight="1">
      <x:c r="A331" s="6" t="str">
        <x:v>1</x:v>
      </x:c>
      <x:c r="B331" s="6" t="str">
        <x:v>4bb37dc62d44ba860a85</x:v>
      </x:c>
      <x:c r="C331" s="6" t="str">
        <x:v>evidence_approved</x:v>
      </x:c>
      <x:c r="D331" s="6" t="str">
        <x:v>codex-evidence-review-v1</x:v>
      </x:c>
      <x:c r="E331" s="22" t="n">
        <x:v>46244.40206471065</x:v>
      </x:c>
      <x:c r="F331" s="6" t="str">
        <x:v>20</x:v>
      </x:c>
      <x:c r="G331" s="20" t="str">
        <x:v>observed_counterfactual;severe_failure;terminal</x:v>
      </x:c>
      <x:c r="H331" s="20" t="str">
        <x:v>browsergym/miniwob.click-collapsible</x:v>
      </x:c>
      <x:c r="I331" s="6" t="str">
        <x:v>browsergym/miniwob.click-collapsible</x:v>
      </x:c>
      <x:c r="J331" s="6" t="str">
        <x:v>cf-click-collapsible-seed1037-hard_wrong_target</x:v>
      </x:c>
      <x:c r="K331" s="6" t="str">
        <x:v>0</x:v>
      </x:c>
      <x:c r="L331" s="20" t="str">
        <x:v>Expand the section below and click submit.</x:v>
      </x:c>
      <x:c r="M331" s="20" t="str">
        <x:v>click("19", "left")</x:v>
      </x:c>
      <x:c r="N331" s="6" t="str">
        <x:v>0.0</x:v>
      </x:c>
      <x:c r="O331" s="20" t="str">
        <x:v>file:///root/autodl-tmp/miniwob-plusplus/miniwob/html/miniwob/click-collapsible.html</x:v>
      </x:c>
      <x:c r="P331" s="20" t="str">
        <x:v>Click Collapsible Task</x:v>
      </x:c>
      <x:c r="Q331" s="20" t="str">
        <x:v>RootWebArea 'Click Collapsible Task', focused [15] tablist '', multiselectable=False, orientation='horizontal' [16] tab 'Section #17', clickable, expanded=False, selected=False, controls='ui-id-2' [19] tab 'Submit', clickable, expanded=False, selected=False [22] button 'Submit', clickable</x:v>
      </x:c>
      <x:c r="R331" s="20" t="str">
        <x:v>file:///root/autodl-tmp/miniwob-plusplus/miniwob/html/miniwob/click-collapsible.html</x:v>
      </x:c>
      <x:c r="S331" s="20" t="str">
        <x:v>Click Collapsible Task</x:v>
      </x:c>
      <x:c r="T331" s="20" t="str">
        <x:v>RootWebArea 'Click Collapsible Task', focused [15] tablist '', multiselectable=False, orientation='horizontal' [16] tab 'Section #17', clickable, expanded=False, selected=False, controls='ui-id-2' [19] tab 'Submit', clickable, expanded=False, selected=False [22] button 'Submit', clickable, focused</x:v>
      </x:c>
      <x:c r="U331" s="6" t="str">
        <x:v>0</x:v>
      </x:c>
      <x:c r="V331" s="6" t="str">
        <x:v>0</x:v>
      </x:c>
      <x:c r="W331" s="6" t="str">
        <x:v>0</x:v>
      </x:c>
      <x:c r="X331" s="6" t="str">
        <x:v>1</x:v>
      </x:c>
      <x:c r="Y331" s="6" t="str">
        <x:v>0</x:v>
      </x:c>
      <x:c r="Z331" s="6" t="str">
        <x:v>1</x:v>
      </x:c>
      <x:c r="AA331" s="6" t="str">
        <x:v>0.0</x:v>
      </x:c>
      <x:c r="AB331" s="20" t="str">
        <x:v>Codex证据复核v1：原始记录唯一匹配、环境实测、反事实配对ID完整、终止且非成功、奖励非正、队列标签与结果派生规则一致；非人工签字。</x:v>
      </x:c>
    </x:row>
    <x:row r="332" ht="46" customHeight="1">
      <x:c r="A332" s="6" t="str">
        <x:v>1</x:v>
      </x:c>
      <x:c r="B332" s="6" t="str">
        <x:v>e988d839cb91dbbe98aa</x:v>
      </x:c>
      <x:c r="C332" s="6" t="str">
        <x:v>evidence_approved</x:v>
      </x:c>
      <x:c r="D332" s="6" t="str">
        <x:v>codex-evidence-review-v1</x:v>
      </x:c>
      <x:c r="E332" s="22" t="n">
        <x:v>46244.40206471065</x:v>
      </x:c>
      <x:c r="F332" s="6" t="str">
        <x:v>20</x:v>
      </x:c>
      <x:c r="G332" s="20" t="str">
        <x:v>observed_counterfactual;severe_failure;terminal</x:v>
      </x:c>
      <x:c r="H332" s="20" t="str">
        <x:v>browsergym/miniwob.choose-list</x:v>
      </x:c>
      <x:c r="I332" s="6" t="str">
        <x:v>browsergym/miniwob.choose-list</x:v>
      </x:c>
      <x:c r="J332" s="6" t="str">
        <x:v>cf-choose-list-seed1002-hard_wrong_target</x:v>
      </x:c>
      <x:c r="K332" s="6" t="str">
        <x:v>0</x:v>
      </x:c>
      <x:c r="L332" s="20" t="str">
        <x:v>Select India from the list and click Submit.</x:v>
      </x:c>
      <x:c r="M332" s="20" t="str">
        <x:v>click("18", "left")</x:v>
      </x:c>
      <x:c r="N332" s="6" t="str">
        <x:v>0.0</x:v>
      </x:c>
      <x:c r="O332" s="20" t="str">
        <x:v>file:///root/autodl-tmp/miniwob-plusplus/miniwob/html/miniwob/choose-list.html</x:v>
      </x:c>
      <x:c r="P332" s="20" t="str">
        <x:v>Choose List Task</x:v>
      </x:c>
      <x:c r="Q332" s="20" t="str">
        <x:v>RootWebArea 'Choose List Task', focused [13] combobox '' value='Grenada', hasPopup='menu', expanded=False [18] button 'Submit', clickable</x:v>
      </x:c>
      <x:c r="R332" s="20" t="str">
        <x:v>file:///root/autodl-tmp/miniwob-plusplus/miniwob/html/miniwob/choose-list.html</x:v>
      </x:c>
      <x:c r="S332" s="20" t="str">
        <x:v>Choose List Task</x:v>
      </x:c>
      <x:c r="T332" s="20" t="str">
        <x:v>RootWebArea 'Choose List Task', focused [13] combobox '' value='Grenada', hasPopup='menu', expanded=False [18] button 'Submit', clickable, focused</x:v>
      </x:c>
      <x:c r="U332" s="6" t="str">
        <x:v>0</x:v>
      </x:c>
      <x:c r="V332" s="6" t="str">
        <x:v>0</x:v>
      </x:c>
      <x:c r="W332" s="6" t="str">
        <x:v>0</x:v>
      </x:c>
      <x:c r="X332" s="6" t="str">
        <x:v>1</x:v>
      </x:c>
      <x:c r="Y332" s="6" t="str">
        <x:v>0</x:v>
      </x:c>
      <x:c r="Z332" s="6" t="str">
        <x:v>1</x:v>
      </x:c>
      <x:c r="AA332" s="6" t="str">
        <x:v>0.0</x:v>
      </x:c>
      <x:c r="AB332" s="20" t="str">
        <x:v>Codex证据复核v1：原始记录唯一匹配、环境实测、反事实配对ID完整、终止且非成功、奖励非正、队列标签与结果派生规则一致；非人工签字。</x:v>
      </x:c>
    </x:row>
    <x:row r="333" ht="46" customHeight="1">
      <x:c r="A333" s="6" t="str">
        <x:v>1</x:v>
      </x:c>
      <x:c r="B333" s="6" t="str">
        <x:v>8c8f55a02df95700a3c3</x:v>
      </x:c>
      <x:c r="C333" s="6" t="str">
        <x:v>evidence_approved</x:v>
      </x:c>
      <x:c r="D333" s="6" t="str">
        <x:v>codex-evidence-review-v1</x:v>
      </x:c>
      <x:c r="E333" s="22" t="n">
        <x:v>46244.40206471065</x:v>
      </x:c>
      <x:c r="F333" s="6" t="str">
        <x:v>20</x:v>
      </x:c>
      <x:c r="G333" s="20" t="str">
        <x:v>observed_counterfactual;severe_failure;terminal</x:v>
      </x:c>
      <x:c r="H333" s="20" t="str">
        <x:v>browsergym/miniwob.enter-text</x:v>
      </x:c>
      <x:c r="I333" s="6" t="str">
        <x:v>browsergym/miniwob.enter-text</x:v>
      </x:c>
      <x:c r="J333" s="6" t="str">
        <x:v>cf-enter-text-seed1005-hard_wrong_target</x:v>
      </x:c>
      <x:c r="K333" s="6" t="str">
        <x:v>0</x:v>
      </x:c>
      <x:c r="L333" s="20" t="str">
        <x:v>Enter "Karrie" into the text field and press Submit.</x:v>
      </x:c>
      <x:c r="M333" s="20" t="str">
        <x:v>click("15", "left")</x:v>
      </x:c>
      <x:c r="N333" s="6" t="str">
        <x:v>0.0</x:v>
      </x:c>
      <x:c r="O333" s="20" t="str">
        <x:v>file:///root/autodl-tmp/miniwob-plusplus/miniwob/html/miniwob/enter-text.html</x:v>
      </x:c>
      <x:c r="P333" s="20" t="str">
        <x:v>Enter Text Task</x:v>
      </x:c>
      <x:c r="Q333" s="20" t="str">
        <x:v>RootWebArea 'Enter Text Task', focused [14] textbox '', clickable [15] button 'Submit', clickable</x:v>
      </x:c>
      <x:c r="R333" s="20" t="str">
        <x:v>file:///root/autodl-tmp/miniwob-plusplus/miniwob/html/miniwob/enter-text.html</x:v>
      </x:c>
      <x:c r="S333" s="20" t="str">
        <x:v>Enter Text Task</x:v>
      </x:c>
      <x:c r="T333" s="20" t="str">
        <x:v>RootWebArea 'Enter Text Task', focused [14] textbox '', clickable [15] button 'Submit', clickable, focused</x:v>
      </x:c>
      <x:c r="U333" s="6" t="str">
        <x:v>0</x:v>
      </x:c>
      <x:c r="V333" s="6" t="str">
        <x:v>0</x:v>
      </x:c>
      <x:c r="W333" s="6" t="str">
        <x:v>0</x:v>
      </x:c>
      <x:c r="X333" s="6" t="str">
        <x:v>1</x:v>
      </x:c>
      <x:c r="Y333" s="6" t="str">
        <x:v>0</x:v>
      </x:c>
      <x:c r="Z333" s="6" t="str">
        <x:v>1</x:v>
      </x:c>
      <x:c r="AA333" s="6" t="str">
        <x:v>0.0</x:v>
      </x:c>
      <x:c r="AB333" s="20" t="str">
        <x:v>Codex证据复核v1：原始记录唯一匹配、环境实测、反事实配对ID完整、终止且非成功、奖励非正、队列标签与结果派生规则一致；非人工签字。</x:v>
      </x:c>
    </x:row>
    <x:row r="334" ht="46" customHeight="1">
      <x:c r="A334" s="6" t="str">
        <x:v>1</x:v>
      </x:c>
      <x:c r="B334" s="6" t="str">
        <x:v>83a52bab604efcaf8a18</x:v>
      </x:c>
      <x:c r="C334" s="6" t="str">
        <x:v>evidence_approved</x:v>
      </x:c>
      <x:c r="D334" s="6" t="str">
        <x:v>codex-evidence-review-v1</x:v>
      </x:c>
      <x:c r="E334" s="22" t="n">
        <x:v>46244.40206471065</x:v>
      </x:c>
      <x:c r="F334" s="6" t="str">
        <x:v>20</x:v>
      </x:c>
      <x:c r="G334" s="20" t="str">
        <x:v>observed_counterfactual;severe_failure;terminal</x:v>
      </x:c>
      <x:c r="H334" s="20" t="str">
        <x:v>browsergym/miniwob.login-user</x:v>
      </x:c>
      <x:c r="I334" s="6" t="str">
        <x:v>browsergym/miniwob.login-user</x:v>
      </x:c>
      <x:c r="J334" s="6" t="str">
        <x:v>cf-login-user-seed1012-hard_wrong_target</x:v>
      </x:c>
      <x:c r="K334" s="6" t="str">
        <x:v>0</x:v>
      </x:c>
      <x:c r="L334" s="20" t="str">
        <x:v>Enter the username "vina" and the password "inYEp" into the text fields and press login.</x:v>
      </x:c>
      <x:c r="M334" s="20" t="str">
        <x:v>click("20", "left")</x:v>
      </x:c>
      <x:c r="N334" s="6" t="str">
        <x:v>0.0</x:v>
      </x:c>
      <x:c r="O334" s="20" t="str">
        <x:v>file:///root/autodl-tmp/miniwob-plusplus/miniwob/html/miniwob/login-user.html</x:v>
      </x:c>
      <x:c r="P334" s="20" t="str">
        <x:v>Login User Task</x:v>
      </x:c>
      <x:c r="Q334" s="20" t="str">
        <x:v>RootWebArea 'Login User Task', focused [14] paragraph '' [15] LabelText '' StaticText 'Username' [16] textbox '', clickable [17] paragraph '' [18] LabelText '' StaticText 'Password' [19] textbox '', clickable [20] button 'Login', clickable</x:v>
      </x:c>
      <x:c r="R334" s="20" t="str">
        <x:v>file:///root/autodl-tmp/miniwob-plusplus/miniwob/html/miniwob/login-user.html</x:v>
      </x:c>
      <x:c r="S334" s="20" t="str">
        <x:v>Login User Task</x:v>
      </x:c>
      <x:c r="T334" s="20" t="str">
        <x:v>RootWebArea 'Login User Task', focused [14] paragraph '' [15] LabelText '' StaticText 'Username' [16] textbox '', clickable [17] paragraph '' [18] LabelText '' StaticText 'Password' [19] textbox '', clickable [20] button 'Login', clickable, focused</x:v>
      </x:c>
      <x:c r="U334" s="6" t="str">
        <x:v>0</x:v>
      </x:c>
      <x:c r="V334" s="6" t="str">
        <x:v>0</x:v>
      </x:c>
      <x:c r="W334" s="6" t="str">
        <x:v>0</x:v>
      </x:c>
      <x:c r="X334" s="6" t="str">
        <x:v>1</x:v>
      </x:c>
      <x:c r="Y334" s="6" t="str">
        <x:v>0</x:v>
      </x:c>
      <x:c r="Z334" s="6" t="str">
        <x:v>1</x:v>
      </x:c>
      <x:c r="AA334" s="6" t="str">
        <x:v>0.0</x:v>
      </x:c>
      <x:c r="AB334" s="20" t="str">
        <x:v>Codex证据复核v1：原始记录唯一匹配、环境实测、反事实配对ID完整、终止且非成功、奖励非正、队列标签与结果派生规则一致；非人工签字。</x:v>
      </x:c>
    </x:row>
    <x:row r="335" ht="46" customHeight="1">
      <x:c r="A335" s="6" t="str">
        <x:v>1</x:v>
      </x:c>
      <x:c r="B335" s="6" t="str">
        <x:v>eeb1c6440ea99e763f88</x:v>
      </x:c>
      <x:c r="C335" s="6" t="str">
        <x:v>evidence_approved</x:v>
      </x:c>
      <x:c r="D335" s="6" t="str">
        <x:v>codex-evidence-review-v1</x:v>
      </x:c>
      <x:c r="E335" s="22" t="n">
        <x:v>46244.40206471065</x:v>
      </x:c>
      <x:c r="F335" s="6" t="str">
        <x:v>20</x:v>
      </x:c>
      <x:c r="G335" s="20" t="str">
        <x:v>observed_counterfactual;severe_failure;terminal</x:v>
      </x:c>
      <x:c r="H335" s="20" t="str">
        <x:v>browsergym/miniwob.click-collapsible</x:v>
      </x:c>
      <x:c r="I335" s="6" t="str">
        <x:v>browsergym/miniwob.click-collapsible</x:v>
      </x:c>
      <x:c r="J335" s="6" t="str">
        <x:v>cf-click-collapsible-seed1032-hard_wrong_target</x:v>
      </x:c>
      <x:c r="K335" s="6" t="str">
        <x:v>0</x:v>
      </x:c>
      <x:c r="L335" s="20" t="str">
        <x:v>Expand the section below and click submit.</x:v>
      </x:c>
      <x:c r="M335" s="20" t="str">
        <x:v>click("19", "left")</x:v>
      </x:c>
      <x:c r="N335" s="6" t="str">
        <x:v>0.0</x:v>
      </x:c>
      <x:c r="O335" s="20" t="str">
        <x:v>file:///root/autodl-tmp/miniwob-plusplus/miniwob/html/miniwob/click-collapsible.html</x:v>
      </x:c>
      <x:c r="P335" s="20" t="str">
        <x:v>Click Collapsible Task</x:v>
      </x:c>
      <x:c r="Q335" s="20" t="str">
        <x:v>RootWebArea 'Click Collapsible Task', focused [15] tablist '', multiselectable=False, orientation='horizontal' [16] tab 'Section #33', clickable, expanded=False, selected=False, controls='ui-id-2' [19] tab 'Submit', clickable, expanded=False, selected=False [22] button 'Submit', clickable</x:v>
      </x:c>
      <x:c r="R335" s="20" t="str">
        <x:v>file:///root/autodl-tmp/miniwob-plusplus/miniwob/html/miniwob/click-collapsible.html</x:v>
      </x:c>
      <x:c r="S335" s="20" t="str">
        <x:v>Click Collapsible Task</x:v>
      </x:c>
      <x:c r="T335" s="20" t="str">
        <x:v>RootWebArea 'Click Collapsible Task', focused [15] tablist '', multiselectable=False, orientation='horizontal' [16] tab 'Section #33', clickable, expanded=False, selected=False, controls='ui-id-2' [19] tab 'Submit', clickable, expanded=False, selected=False [22] button 'Submit', clickable, focused</x:v>
      </x:c>
      <x:c r="U335" s="6" t="str">
        <x:v>0</x:v>
      </x:c>
      <x:c r="V335" s="6" t="str">
        <x:v>0</x:v>
      </x:c>
      <x:c r="W335" s="6" t="str">
        <x:v>0</x:v>
      </x:c>
      <x:c r="X335" s="6" t="str">
        <x:v>1</x:v>
      </x:c>
      <x:c r="Y335" s="6" t="str">
        <x:v>0</x:v>
      </x:c>
      <x:c r="Z335" s="6" t="str">
        <x:v>1</x:v>
      </x:c>
      <x:c r="AA335" s="6" t="str">
        <x:v>0.0</x:v>
      </x:c>
      <x:c r="AB335" s="20" t="str">
        <x:v>Codex证据复核v1：原始记录唯一匹配、环境实测、反事实配对ID完整、终止且非成功、奖励非正、队列标签与结果派生规则一致；非人工签字。</x:v>
      </x:c>
    </x:row>
    <x:row r="336" ht="46" customHeight="1">
      <x:c r="A336" s="6" t="str">
        <x:v>1</x:v>
      </x:c>
      <x:c r="B336" s="6" t="str">
        <x:v>98e4f9f3cdf7ec367a53</x:v>
      </x:c>
      <x:c r="C336" s="6" t="str">
        <x:v>evidence_approved</x:v>
      </x:c>
      <x:c r="D336" s="6" t="str">
        <x:v>codex-evidence-review-v1</x:v>
      </x:c>
      <x:c r="E336" s="22" t="n">
        <x:v>46244.40206471065</x:v>
      </x:c>
      <x:c r="F336" s="6" t="str">
        <x:v>20</x:v>
      </x:c>
      <x:c r="G336" s="20" t="str">
        <x:v>observed_counterfactual;severe_failure;terminal</x:v>
      </x:c>
      <x:c r="H336" s="20" t="str">
        <x:v>browsergym/miniwob.click-widget</x:v>
      </x:c>
      <x:c r="I336" s="6" t="str">
        <x:v>browsergym/miniwob.click-widget</x:v>
      </x:c>
      <x:c r="J336" s="6" t="str">
        <x:v>cf-click-widget-seed1000-hard_wrong_target</x:v>
      </x:c>
      <x:c r="K336" s="6" t="str">
        <x:v>0</x:v>
      </x:c>
      <x:c r="L336" s="20" t="str">
        <x:v>Click on a "radio" widget.</x:v>
      </x:c>
      <x:c r="M336" s="20" t="str">
        <x:v>click("17", "left")</x:v>
      </x:c>
      <x:c r="N336" s="6" t="str">
        <x:v>0.0</x:v>
      </x:c>
      <x:c r="O336" s="20" t="str">
        <x:v>file:///root/autodl-tmp/miniwob-plusplus/miniwob/html/miniwob/click-widget.html</x:v>
      </x:c>
      <x:c r="P336" s="20" t="str">
        <x:v>Click Widget Task</x:v>
      </x:c>
      <x:c r="Q336" s="20" t="str">
        <x:v>RootWebArea 'Click Widget Task', focused [14] LabelText '', clickable [15] radio 'JE', clickable, checked='false' StaticText 'JE' [17] button 'Qd1' [19] LabelText '', clickable [20] checkbox 'Na1', clickable, checked='false' StaticText 'Na1' [22] LabelText '', clickable [23] checkbox 'Yb', clickable, checked='false' StaticText 'Yb' [25] textbox '' value='AyEH', clickable StaticText 'AyEH'</x:v>
      </x:c>
      <x:c r="R336" s="20" t="str">
        <x:v>file:///root/autodl-tmp/miniwob-plusplus/miniwob/html/miniwob/click-widget.html</x:v>
      </x:c>
      <x:c r="S336" s="20" t="str">
        <x:v>Click Widget Task</x:v>
      </x:c>
      <x:c r="T336" s="20" t="str">
        <x:v>RootWebArea 'Click Widget Task', focused [14] LabelText '', clickable [15] radio 'JE', clickable, checked='false' StaticText 'JE' [17] button 'Qd1', focused [19] LabelText '', clickable [20] checkbox 'Na1', clickable, checked='false' StaticText 'Na1' [22] LabelText '', clickable [23] checkbox 'Yb', clickable, checked='false' StaticText 'Yb' [25] textbox '' value='AyEH', clickable StaticText 'AyEH'</x:v>
      </x:c>
      <x:c r="U336" s="6" t="str">
        <x:v>0</x:v>
      </x:c>
      <x:c r="V336" s="6" t="str">
        <x:v>0</x:v>
      </x:c>
      <x:c r="W336" s="6" t="str">
        <x:v>0</x:v>
      </x:c>
      <x:c r="X336" s="6" t="str">
        <x:v>1</x:v>
      </x:c>
      <x:c r="Y336" s="6" t="str">
        <x:v>0</x:v>
      </x:c>
      <x:c r="Z336" s="6" t="str">
        <x:v>1</x:v>
      </x:c>
      <x:c r="AA336" s="6" t="str">
        <x:v>0.0</x:v>
      </x:c>
      <x:c r="AB336" s="20" t="str">
        <x:v>Codex证据复核v1：原始记录唯一匹配、环境实测、反事实配对ID完整、终止且非成功、奖励非正、队列标签与结果派生规则一致；非人工签字。</x:v>
      </x:c>
    </x:row>
    <x:row r="337" ht="46" customHeight="1">
      <x:c r="A337" s="6" t="str">
        <x:v>1</x:v>
      </x:c>
      <x:c r="B337" s="6" t="str">
        <x:v>ebd40f63a8da3093396c</x:v>
      </x:c>
      <x:c r="C337" s="6" t="str">
        <x:v>evidence_approved</x:v>
      </x:c>
      <x:c r="D337" s="6" t="str">
        <x:v>codex-evidence-review-v1</x:v>
      </x:c>
      <x:c r="E337" s="22" t="n">
        <x:v>46244.40206471065</x:v>
      </x:c>
      <x:c r="F337" s="6" t="str">
        <x:v>20</x:v>
      </x:c>
      <x:c r="G337" s="20" t="str">
        <x:v>observed_counterfactual;severe_failure;terminal</x:v>
      </x:c>
      <x:c r="H337" s="20" t="str">
        <x:v>browsergym/miniwob.enter-text-2</x:v>
      </x:c>
      <x:c r="I337" s="6" t="str">
        <x:v>browsergym/miniwob.enter-text-2</x:v>
      </x:c>
      <x:c r="J337" s="6" t="str">
        <x:v>cf-enter-text-2-seed1007-hard_wrong_target</x:v>
      </x:c>
      <x:c r="K337" s="6" t="str">
        <x:v>0</x:v>
      </x:c>
      <x:c r="L337" s="20" t="str">
        <x:v>Type "joye" in all upper case letters in the text input and press Submit.</x:v>
      </x:c>
      <x:c r="M337" s="20" t="str">
        <x:v>click("15", "left")</x:v>
      </x:c>
      <x:c r="N337" s="6" t="str">
        <x:v>0.0</x:v>
      </x:c>
      <x:c r="O337" s="20" t="str">
        <x:v>file:///root/autodl-tmp/miniwob-plusplus/miniwob/html/miniwob/enter-text-2.html</x:v>
      </x:c>
      <x:c r="P337" s="20" t="str">
        <x:v>Enter Text Task</x:v>
      </x:c>
      <x:c r="Q337" s="20" t="str">
        <x:v>RootWebArea 'Enter Text Task', focused [14] textbox '', clickable [15] button 'Submit', clickable</x:v>
      </x:c>
      <x:c r="R337" s="20" t="str">
        <x:v>file:///root/autodl-tmp/miniwob-plusplus/miniwob/html/miniwob/enter-text-2.html</x:v>
      </x:c>
      <x:c r="S337" s="20" t="str">
        <x:v>Enter Text Task</x:v>
      </x:c>
      <x:c r="T337" s="20" t="str">
        <x:v>RootWebArea 'Enter Text Task', focused [14] textbox '', clickable [15] button 'Submit', clickable, focused</x:v>
      </x:c>
      <x:c r="U337" s="6" t="str">
        <x:v>0</x:v>
      </x:c>
      <x:c r="V337" s="6" t="str">
        <x:v>0</x:v>
      </x:c>
      <x:c r="W337" s="6" t="str">
        <x:v>0</x:v>
      </x:c>
      <x:c r="X337" s="6" t="str">
        <x:v>1</x:v>
      </x:c>
      <x:c r="Y337" s="6" t="str">
        <x:v>0</x:v>
      </x:c>
      <x:c r="Z337" s="6" t="str">
        <x:v>1</x:v>
      </x:c>
      <x:c r="AA337" s="6" t="str">
        <x:v>0.0</x:v>
      </x:c>
      <x:c r="AB337" s="20" t="str">
        <x:v>Codex证据复核v1：原始记录唯一匹配、环境实测、反事实配对ID完整、终止且非成功、奖励非正、队列标签与结果派生规则一致；非人工签字。</x:v>
      </x:c>
    </x:row>
    <x:row r="338" ht="46" customHeight="1">
      <x:c r="A338" s="6" t="str">
        <x:v>1</x:v>
      </x:c>
      <x:c r="B338" s="6" t="str">
        <x:v>06a1f16b361879bc4082</x:v>
      </x:c>
      <x:c r="C338" s="6" t="str">
        <x:v>evidence_approved</x:v>
      </x:c>
      <x:c r="D338" s="6" t="str">
        <x:v>codex-evidence-review-v1</x:v>
      </x:c>
      <x:c r="E338" s="22" t="n">
        <x:v>46244.40206471065</x:v>
      </x:c>
      <x:c r="F338" s="6" t="str">
        <x:v>20</x:v>
      </x:c>
      <x:c r="G338" s="20" t="str">
        <x:v>observed_counterfactual;severe_failure;terminal</x:v>
      </x:c>
      <x:c r="H338" s="20" t="str">
        <x:v>browsergym/miniwob.click-dialog-2</x:v>
      </x:c>
      <x:c r="I338" s="6" t="str">
        <x:v>browsergym/miniwob.click-dialog-2</x:v>
      </x:c>
      <x:c r="J338" s="6" t="str">
        <x:v>cf-click-dialog-2-seed1034-missing_target</x:v>
      </x:c>
      <x:c r="K338" s="6" t="str">
        <x:v>0</x:v>
      </x:c>
      <x:c r="L338" s="20" t="str">
        <x:v>Click the button in the dialog box labeled "x".</x:v>
      </x:c>
      <x:c r="M338" s="20" t="str">
        <x:v>click("28", "left")</x:v>
      </x:c>
      <x:c r="N338" s="6" t="str">
        <x:v>0.0</x:v>
      </x:c>
      <x:c r="O338" s="20" t="str">
        <x:v>file:///root/autodl-tmp/miniwob-plusplus/miniwob/html/miniwob/click-dialog-2.html</x:v>
      </x:c>
      <x:c r="P338" s="20" t="str">
        <x:v>Click Dialog Task</x:v>
      </x:c>
      <x:c r="Q338" s="20" t="str">
        <x:v>RootWebArea 'Click Dialog Task', focused [17] dialog '', clickable, modal=False, describedby='dialog' StaticText '' [20] button 'Close', clickable [24] paragraph '' StaticText 'Lorem lectus porttitor cursus.' [27] button 'Cancel', clickable, focused [28] button 'OK', clickable</x:v>
      </x:c>
      <x:c r="R338" s="20" t="str">
        <x:v>file:///root/autodl-tmp/miniwob-plusplus/miniwob/html/miniwob/click-dialog-2.html</x:v>
      </x:c>
      <x:c r="S338" s="20" t="str">
        <x:v>Click Dialog Task</x:v>
      </x:c>
      <x:c r="T338" s="20" t="str">
        <x:v>RootWebArea 'Click Dialog Task', focused [17] dialog '', clickable, modal=False, describedby='dialog' StaticText '' [20] button 'Close', clickable [24] paragraph '' StaticText 'Lorem lectus porttitor cursus.' [27] button 'Cancel', clickable [28] button 'OK', clickable, focused</x:v>
      </x:c>
      <x:c r="U338" s="6" t="str">
        <x:v>0</x:v>
      </x:c>
      <x:c r="V338" s="6" t="str">
        <x:v>0</x:v>
      </x:c>
      <x:c r="W338" s="6" t="str">
        <x:v>0</x:v>
      </x:c>
      <x:c r="X338" s="6" t="str">
        <x:v>1</x:v>
      </x:c>
      <x:c r="Y338" s="6" t="str">
        <x:v>0</x:v>
      </x:c>
      <x:c r="Z338" s="6" t="str">
        <x:v>1</x:v>
      </x:c>
      <x:c r="AA338" s="6" t="str">
        <x:v>0.0</x:v>
      </x:c>
      <x:c r="AB338" s="20" t="str">
        <x:v>Codex证据复核v1：原始记录唯一匹配、环境实测、反事实配对ID完整、终止且非成功、奖励非正、队列标签与结果派生规则一致；非人工签字。</x:v>
      </x:c>
    </x:row>
    <x:row r="339" ht="46" customHeight="1">
      <x:c r="A339" s="6" t="str">
        <x:v>1</x:v>
      </x:c>
      <x:c r="B339" s="6" t="str">
        <x:v>7345a177a6f132a9040b</x:v>
      </x:c>
      <x:c r="C339" s="6" t="str">
        <x:v>evidence_approved</x:v>
      </x:c>
      <x:c r="D339" s="6" t="str">
        <x:v>codex-evidence-review-v1</x:v>
      </x:c>
      <x:c r="E339" s="22" t="n">
        <x:v>46244.40206471065</x:v>
      </x:c>
      <x:c r="F339" s="6" t="str">
        <x:v>20</x:v>
      </x:c>
      <x:c r="G339" s="20" t="str">
        <x:v>observed_counterfactual;severe_failure;terminal</x:v>
      </x:c>
      <x:c r="H339" s="20" t="str">
        <x:v>browsergym/miniwob.click-dialog-2</x:v>
      </x:c>
      <x:c r="I339" s="6" t="str">
        <x:v>browsergym/miniwob.click-dialog-2</x:v>
      </x:c>
      <x:c r="J339" s="6" t="str">
        <x:v>cf-click-dialog-2-seed1038-hard_wrong_target</x:v>
      </x:c>
      <x:c r="K339" s="6" t="str">
        <x:v>0</x:v>
      </x:c>
      <x:c r="L339" s="20" t="str">
        <x:v>Click the button in the dialog box labeled "OK".</x:v>
      </x:c>
      <x:c r="M339" s="20" t="str">
        <x:v>click("20", "left")</x:v>
      </x:c>
      <x:c r="N339" s="6" t="str">
        <x:v>0.0</x:v>
      </x:c>
      <x:c r="O339" s="20" t="str">
        <x:v>file:///root/autodl-tmp/miniwob-plusplus/miniwob/html/miniwob/click-dialog-2.html</x:v>
      </x:c>
      <x:c r="P339" s="20" t="str">
        <x:v>Click Dialog Task</x:v>
      </x:c>
      <x:c r="Q339" s="20" t="str">
        <x:v>RootWebArea 'Click Dialog Task', focused [17] dialog '', clickable, modal=False, describedby='dialog' StaticText '' [20] button 'Close', clickable [24] paragraph '' StaticText 'Neque lacus non mus senectus amet.' [27] button 'Cancel', clickable, focused [28] button 'OK', clickable</x:v>
      </x:c>
      <x:c r="R339" s="20" t="str">
        <x:v>file:///root/autodl-tmp/miniwob-plusplus/miniwob/html/miniwob/click-dialog-2.html</x:v>
      </x:c>
      <x:c r="S339" s="20" t="str">
        <x:v>Click Dialog Task</x:v>
      </x:c>
      <x:c r="T339" s="20" t="str">
        <x:v>RootWebArea 'Click Dialog Task', focused</x:v>
      </x:c>
      <x:c r="U339" s="6" t="str">
        <x:v>0</x:v>
      </x:c>
      <x:c r="V339" s="6" t="str">
        <x:v>0</x:v>
      </x:c>
      <x:c r="W339" s="6" t="str">
        <x:v>0</x:v>
      </x:c>
      <x:c r="X339" s="6" t="str">
        <x:v>1</x:v>
      </x:c>
      <x:c r="Y339" s="6" t="str">
        <x:v>0</x:v>
      </x:c>
      <x:c r="Z339" s="6" t="str">
        <x:v>1</x:v>
      </x:c>
      <x:c r="AA339" s="6" t="str">
        <x:v>0.0</x:v>
      </x:c>
      <x:c r="AB339" s="20" t="str">
        <x:v>Codex证据复核v1：原始记录唯一匹配、环境实测、反事实配对ID完整、终止且非成功、奖励非正、队列标签与结果派生规则一致；非人工签字。</x:v>
      </x:c>
    </x:row>
    <x:row r="340" ht="46" customHeight="1">
      <x:c r="A340" s="6" t="str">
        <x:v>1</x:v>
      </x:c>
      <x:c r="B340" s="6" t="str">
        <x:v>fee80913ad8da438ecde</x:v>
      </x:c>
      <x:c r="C340" s="6" t="str">
        <x:v>evidence_approved</x:v>
      </x:c>
      <x:c r="D340" s="6" t="str">
        <x:v>codex-evidence-review-v1</x:v>
      </x:c>
      <x:c r="E340" s="22" t="n">
        <x:v>46244.40206471065</x:v>
      </x:c>
      <x:c r="F340" s="6" t="str">
        <x:v>20</x:v>
      </x:c>
      <x:c r="G340" s="20" t="str">
        <x:v>observed_counterfactual;severe_failure;terminal</x:v>
      </x:c>
      <x:c r="H340" s="20" t="str">
        <x:v>browsergym/miniwob.click-widget</x:v>
      </x:c>
      <x:c r="I340" s="6" t="str">
        <x:v>browsergym/miniwob.click-widget</x:v>
      </x:c>
      <x:c r="J340" s="6" t="str">
        <x:v>cf-click-widget-seed1012-missing_target</x:v>
      </x:c>
      <x:c r="K340" s="6" t="str">
        <x:v>0</x:v>
      </x:c>
      <x:c r="L340" s="20" t="str">
        <x:v>Click on a "radio" widget.</x:v>
      </x:c>
      <x:c r="M340" s="20" t="str">
        <x:v>click("21", "left")</x:v>
      </x:c>
      <x:c r="N340" s="6" t="str">
        <x:v>0.0</x:v>
      </x:c>
      <x:c r="O340" s="20" t="str">
        <x:v>file:///root/autodl-tmp/miniwob-plusplus/miniwob/html/miniwob/click-widget.html</x:v>
      </x:c>
      <x:c r="P340" s="20" t="str">
        <x:v>Click Widget Task</x:v>
      </x:c>
      <x:c r="Q340" s="20" t="str">
        <x:v>RootWebArea 'Click Widget Task', focused [14] LabelText '', clickable [15] radio 'inYEp', clickable, checked='false' StaticText 'inYEp' [17] textbox '' value='T4A' StaticText 'T4A' [19] button 'mWa' [21] button 'Yn' [23] textbox '' value='xb' StaticText 'xb'</x:v>
      </x:c>
      <x:c r="R340" s="20" t="str">
        <x:v>file:///root/autodl-tmp/miniwob-plusplus/miniwob/html/miniwob/click-widget.html</x:v>
      </x:c>
      <x:c r="S340" s="20" t="str">
        <x:v>Click Widget Task</x:v>
      </x:c>
      <x:c r="T340" s="20" t="str">
        <x:v>RootWebArea 'Click Widget Task', focused [14] LabelText '', clickable [15] radio 'inYEp', clickable, checked='false' StaticText 'inYEp' [17] textbox '' value='T4A' StaticText 'T4A' [19] button 'mWa' [21] button 'Yn', focused [23] textbox '' value='xb' StaticText 'xb'</x:v>
      </x:c>
      <x:c r="U340" s="6" t="str">
        <x:v>0</x:v>
      </x:c>
      <x:c r="V340" s="6" t="str">
        <x:v>0</x:v>
      </x:c>
      <x:c r="W340" s="6" t="str">
        <x:v>0</x:v>
      </x:c>
      <x:c r="X340" s="6" t="str">
        <x:v>1</x:v>
      </x:c>
      <x:c r="Y340" s="6" t="str">
        <x:v>0</x:v>
      </x:c>
      <x:c r="Z340" s="6" t="str">
        <x:v>1</x:v>
      </x:c>
      <x:c r="AA340" s="6" t="str">
        <x:v>0.0</x:v>
      </x:c>
      <x:c r="AB340" s="20" t="str">
        <x:v>Codex证据复核v1：原始记录唯一匹配、环境实测、反事实配对ID完整、终止且非成功、奖励非正、队列标签与结果派生规则一致；非人工签字。</x:v>
      </x:c>
    </x:row>
    <x:row r="341" ht="46" customHeight="1">
      <x:c r="A341" s="6" t="str">
        <x:v>1</x:v>
      </x:c>
      <x:c r="B341" s="6" t="str">
        <x:v>f98c22be5d117960ca90</x:v>
      </x:c>
      <x:c r="C341" s="6" t="str">
        <x:v>evidence_approved</x:v>
      </x:c>
      <x:c r="D341" s="6" t="str">
        <x:v>codex-evidence-review-v1</x:v>
      </x:c>
      <x:c r="E341" s="22" t="n">
        <x:v>46244.40206471065</x:v>
      </x:c>
      <x:c r="F341" s="6" t="str">
        <x:v>20</x:v>
      </x:c>
      <x:c r="G341" s="20" t="str">
        <x:v>observed_counterfactual;severe_failure;terminal</x:v>
      </x:c>
      <x:c r="H341" s="20" t="str">
        <x:v>browsergym/miniwob.click-menu</x:v>
      </x:c>
      <x:c r="I341" s="6" t="str">
        <x:v>browsergym/miniwob.click-menu</x:v>
      </x:c>
      <x:c r="J341" s="6" t="str">
        <x:v>cf-click-menu-seed1037-hard_wrong_target</x:v>
      </x:c>
      <x:c r="K341" s="6" t="str">
        <x:v>0</x:v>
      </x:c>
      <x:c r="L341" s="20" t="str">
        <x:v>Select Jill</x:v>
      </x:c>
      <x:c r="M341" s="20" t="str">
        <x:v>click("23", "left")</x:v>
      </x:c>
      <x:c r="N341" s="6" t="str">
        <x:v>0.0</x:v>
      </x:c>
      <x:c r="O341" s="20" t="str">
        <x:v>file:///root/autodl-tmp/miniwob-plusplus/miniwob/html/miniwob/click-menu.html</x:v>
      </x:c>
      <x:c r="P341" s="20" t="str">
        <x:v>Click Menu Task</x:v>
      </x:c>
      <x:c r="Q341" s="20" t="str">
        <x:v>RootWebArea 'Click Menu Task', focused [17] menu '', clickable, orientation='vertical' image '' [19] menuitem 'Brinna' image '' [21] menuitem 'Jill' image '' [23] menuitem 'Mirabelle'</x:v>
      </x:c>
      <x:c r="R341" s="20" t="str">
        <x:v>file:///root/autodl-tmp/miniwob-plusplus/miniwob/html/miniwob/click-menu.html</x:v>
      </x:c>
      <x:c r="S341" s="20" t="str">
        <x:v>Click Menu Task</x:v>
      </x:c>
      <x:c r="T341" s="20" t="str">
        <x:v>RootWebArea 'Click Menu Task', focused [17] menu '', clickable, orientation='vertical' image '' [19] menuitem 'Brinna' image '' [21] menuitem 'Jill' image '' [23] menuitem 'Mirabelle'</x:v>
      </x:c>
      <x:c r="U341" s="6" t="str">
        <x:v>0</x:v>
      </x:c>
      <x:c r="V341" s="6" t="str">
        <x:v>0</x:v>
      </x:c>
      <x:c r="W341" s="6" t="str">
        <x:v>0</x:v>
      </x:c>
      <x:c r="X341" s="6" t="str">
        <x:v>1</x:v>
      </x:c>
      <x:c r="Y341" s="6" t="str">
        <x:v>0</x:v>
      </x:c>
      <x:c r="Z341" s="6" t="str">
        <x:v>1</x:v>
      </x:c>
      <x:c r="AA341" s="6" t="str">
        <x:v>0.0</x:v>
      </x:c>
      <x:c r="AB341" s="20" t="str">
        <x:v>Codex证据复核v1：原始记录唯一匹配、环境实测、反事实配对ID完整、终止且非成功、奖励非正、队列标签与结果派生规则一致；非人工签字。</x:v>
      </x:c>
    </x:row>
    <x:row r="342" ht="46" customHeight="1">
      <x:c r="A342" s="6" t="str">
        <x:v>1</x:v>
      </x:c>
      <x:c r="B342" s="6" t="str">
        <x:v>67015c5ea7ccbb0eb200</x:v>
      </x:c>
      <x:c r="C342" s="6" t="str">
        <x:v>evidence_approved</x:v>
      </x:c>
      <x:c r="D342" s="6" t="str">
        <x:v>codex-evidence-review-v1</x:v>
      </x:c>
      <x:c r="E342" s="22" t="n">
        <x:v>46244.40206471065</x:v>
      </x:c>
      <x:c r="F342" s="6" t="str">
        <x:v>20</x:v>
      </x:c>
      <x:c r="G342" s="20" t="str">
        <x:v>observed_counterfactual;severe_failure;terminal</x:v>
      </x:c>
      <x:c r="H342" s="20" t="str">
        <x:v>browsergym/miniwob.click-widget</x:v>
      </x:c>
      <x:c r="I342" s="6" t="str">
        <x:v>browsergym/miniwob.click-widget</x:v>
      </x:c>
      <x:c r="J342" s="6" t="str">
        <x:v>cf-click-widget-seed1024-wrong_action_type</x:v>
      </x:c>
      <x:c r="K342" s="6" t="str">
        <x:v>0</x:v>
      </x:c>
      <x:c r="L342" s="20" t="str">
        <x:v>Click on a "text" widget.</x:v>
      </x:c>
      <x:c r="M342" s="20" t="str">
        <x:v>click("16", "left")</x:v>
      </x:c>
      <x:c r="N342" s="6" t="str">
        <x:v>0.0</x:v>
      </x:c>
      <x:c r="O342" s="20" t="str">
        <x:v>file:///root/autodl-tmp/miniwob-plusplus/miniwob/html/miniwob/click-widget.html</x:v>
      </x:c>
      <x:c r="P342" s="20" t="str">
        <x:v>Click Widget Task</x:v>
      </x:c>
      <x:c r="Q342" s="20" t="str">
        <x:v>RootWebArea 'Click Widget Task', focused [14] textbox '' value='Ur' StaticText 'Ur' [16] button 'Z3S3n' [18] textbox '' value='Edd', clickable StaticText 'Edd' [20] LabelText '', clickable [21] checkbox 'U', clickable, checked='false' StaticText 'U' [23] textbox '' value='bnNN' StaticText 'bnNN'</x:v>
      </x:c>
      <x:c r="R342" s="20" t="str">
        <x:v>file:///root/autodl-tmp/miniwob-plusplus/miniwob/html/miniwob/click-widget.html</x:v>
      </x:c>
      <x:c r="S342" s="20" t="str">
        <x:v>Click Widget Task</x:v>
      </x:c>
      <x:c r="T342" s="20" t="str">
        <x:v>RootWebArea 'Click Widget Task', focused [14] textbox '' value='Ur' StaticText 'Ur' [16] button 'Z3S3n', focused [18] textbox '' value='Edd', clickable StaticText 'Edd' [20] LabelText '', clickable [21] checkbox 'U', clickable, checked='false' StaticText 'U' [23] textbox '' value='bnNN' StaticText 'bnNN'</x:v>
      </x:c>
      <x:c r="U342" s="6" t="str">
        <x:v>0</x:v>
      </x:c>
      <x:c r="V342" s="6" t="str">
        <x:v>0</x:v>
      </x:c>
      <x:c r="W342" s="6" t="str">
        <x:v>0</x:v>
      </x:c>
      <x:c r="X342" s="6" t="str">
        <x:v>1</x:v>
      </x:c>
      <x:c r="Y342" s="6" t="str">
        <x:v>0</x:v>
      </x:c>
      <x:c r="Z342" s="6" t="str">
        <x:v>1</x:v>
      </x:c>
      <x:c r="AA342" s="6" t="str">
        <x:v>0.0</x:v>
      </x:c>
      <x:c r="AB342" s="20" t="str">
        <x:v>Codex证据复核v1：原始记录唯一匹配、环境实测、反事实配对ID完整、终止且非成功、奖励非正、队列标签与结果派生规则一致；非人工签字。</x:v>
      </x:c>
    </x:row>
    <x:row r="343" ht="46" customHeight="1">
      <x:c r="A343" s="6" t="str">
        <x:v>1</x:v>
      </x:c>
      <x:c r="B343" s="6" t="str">
        <x:v>847010103c003210f179</x:v>
      </x:c>
      <x:c r="C343" s="6" t="str">
        <x:v>evidence_approved</x:v>
      </x:c>
      <x:c r="D343" s="6" t="str">
        <x:v>codex-evidence-review-v1</x:v>
      </x:c>
      <x:c r="E343" s="22" t="n">
        <x:v>46244.40206471065</x:v>
      </x:c>
      <x:c r="F343" s="6" t="str">
        <x:v>20</x:v>
      </x:c>
      <x:c r="G343" s="20" t="str">
        <x:v>observed_counterfactual;severe_failure;terminal</x:v>
      </x:c>
      <x:c r="H343" s="20" t="str">
        <x:v>browsergym/miniwob.enter-password</x:v>
      </x:c>
      <x:c r="I343" s="6" t="str">
        <x:v>browsergym/miniwob.enter-password</x:v>
      </x:c>
      <x:c r="J343" s="6" t="str">
        <x:v>cf-enter-password-seed1023-hard_wrong_target</x:v>
      </x:c>
      <x:c r="K343" s="6" t="str">
        <x:v>0</x:v>
      </x:c>
      <x:c r="L343" s="20" t="str">
        <x:v>Enter the password "1Tg7C" into both text fields and press submit.</x:v>
      </x:c>
      <x:c r="M343" s="20" t="str">
        <x:v>click("20", "left")</x:v>
      </x:c>
      <x:c r="N343" s="6" t="str">
        <x:v>0.0</x:v>
      </x:c>
      <x:c r="O343" s="20" t="str">
        <x:v>file:///root/autodl-tmp/miniwob-plusplus/miniwob/html/miniwob/enter-password.html</x:v>
      </x:c>
      <x:c r="P343" s="20" t="str">
        <x:v>Enter Password Task</x:v>
      </x:c>
      <x:c r="Q343" s="20" t="str">
        <x:v>RootWebArea 'Enter Password Task', focused [14] paragraph '' [15] LabelText '' StaticText 'Password' [16] textbox '', clickable [17] paragraph '' [18] LabelText '' StaticText 'Verify password' [19] textbox '', clickable [20] button 'Submit', clickable</x:v>
      </x:c>
      <x:c r="R343" s="20" t="str">
        <x:v>file:///root/autodl-tmp/miniwob-plusplus/miniwob/html/miniwob/enter-password.html</x:v>
      </x:c>
      <x:c r="S343" s="20" t="str">
        <x:v>Enter Password Task</x:v>
      </x:c>
      <x:c r="T343" s="20" t="str">
        <x:v>RootWebArea 'Enter Password Task', focused [14] paragraph '' [15] LabelText '' StaticText 'Password' [16] textbox '', clickable [17] paragraph '' [18] LabelText '' StaticText 'Verify password' [19] textbox '', clickable [20] button 'Submit', clickable, focused</x:v>
      </x:c>
      <x:c r="U343" s="6" t="str">
        <x:v>0</x:v>
      </x:c>
      <x:c r="V343" s="6" t="str">
        <x:v>0</x:v>
      </x:c>
      <x:c r="W343" s="6" t="str">
        <x:v>0</x:v>
      </x:c>
      <x:c r="X343" s="6" t="str">
        <x:v>1</x:v>
      </x:c>
      <x:c r="Y343" s="6" t="str">
        <x:v>0</x:v>
      </x:c>
      <x:c r="Z343" s="6" t="str">
        <x:v>1</x:v>
      </x:c>
      <x:c r="AA343" s="6" t="str">
        <x:v>0.0</x:v>
      </x:c>
      <x:c r="AB343" s="20" t="str">
        <x:v>Codex证据复核v1：原始记录唯一匹配、环境实测、反事实配对ID完整、终止且非成功、奖励非正、队列标签与结果派生规则一致；非人工签字。</x:v>
      </x:c>
    </x:row>
    <x:row r="344" ht="46" customHeight="1">
      <x:c r="A344" s="6" t="str">
        <x:v>1</x:v>
      </x:c>
      <x:c r="B344" s="6" t="str">
        <x:v>b57bf771fc4838cf565f</x:v>
      </x:c>
      <x:c r="C344" s="6" t="str">
        <x:v>evidence_approved</x:v>
      </x:c>
      <x:c r="D344" s="6" t="str">
        <x:v>codex-evidence-review-v1</x:v>
      </x:c>
      <x:c r="E344" s="22" t="n">
        <x:v>46244.40206471065</x:v>
      </x:c>
      <x:c r="F344" s="6" t="str">
        <x:v>20</x:v>
      </x:c>
      <x:c r="G344" s="20" t="str">
        <x:v>observed_counterfactual;severe_failure;terminal</x:v>
      </x:c>
      <x:c r="H344" s="20" t="str">
        <x:v>browsergym/miniwob.click-widget</x:v>
      </x:c>
      <x:c r="I344" s="6" t="str">
        <x:v>browsergym/miniwob.click-widget</x:v>
      </x:c>
      <x:c r="J344" s="6" t="str">
        <x:v>cf-click-widget-seed1002-wrong_action_type</x:v>
      </x:c>
      <x:c r="K344" s="6" t="str">
        <x:v>0</x:v>
      </x:c>
      <x:c r="L344" s="20" t="str">
        <x:v>Click on a "radio" widget.</x:v>
      </x:c>
      <x:c r="M344" s="20" t="str">
        <x:v>click("24", "left")</x:v>
      </x:c>
      <x:c r="N344" s="6" t="str">
        <x:v>0.0</x:v>
      </x:c>
      <x:c r="O344" s="20" t="str">
        <x:v>file:///root/autodl-tmp/miniwob-plusplus/miniwob/html/miniwob/click-widget.html</x:v>
      </x:c>
      <x:c r="P344" s="20" t="str">
        <x:v>Click Widget Task</x:v>
      </x:c>
      <x:c r="Q344" s="20" t="str">
        <x:v>RootWebArea 'Click Widget Task', focused [14] textbox '' value='yn' StaticText 'yn' [16] textbox '' value='QPi5' StaticText 'QPi5' [18] LabelText '', clickable [19] radio 'l0tz', clickable, checked='false' StaticText 'l0tz' [21] LabelText '', clickable [22] radio 'HT', clickable, checked='false' StaticText 'HT' [24] button 'R'</x:v>
      </x:c>
      <x:c r="R344" s="20" t="str">
        <x:v>file:///root/autodl-tmp/miniwob-plusplus/miniwob/html/miniwob/click-widget.html</x:v>
      </x:c>
      <x:c r="S344" s="20" t="str">
        <x:v>Click Widget Task</x:v>
      </x:c>
      <x:c r="T344" s="20" t="str">
        <x:v>RootWebArea 'Click Widget Task', focused [14] textbox '' value='yn' StaticText 'yn' [16] textbox '' value='QPi5' StaticText 'QPi5' [18] LabelText '', clickable [19] radio 'l0tz', clickable, checked='false' StaticText 'l0tz' [21] LabelText '', clickable [22] radio 'HT', clickable, checked='false' StaticText 'HT' [24] button 'R', focused</x:v>
      </x:c>
      <x:c r="U344" s="6" t="str">
        <x:v>0</x:v>
      </x:c>
      <x:c r="V344" s="6" t="str">
        <x:v>0</x:v>
      </x:c>
      <x:c r="W344" s="6" t="str">
        <x:v>0</x:v>
      </x:c>
      <x:c r="X344" s="6" t="str">
        <x:v>1</x:v>
      </x:c>
      <x:c r="Y344" s="6" t="str">
        <x:v>0</x:v>
      </x:c>
      <x:c r="Z344" s="6" t="str">
        <x:v>1</x:v>
      </x:c>
      <x:c r="AA344" s="6" t="str">
        <x:v>0.0</x:v>
      </x:c>
      <x:c r="AB344" s="20" t="str">
        <x:v>Codex证据复核v1：原始记录唯一匹配、环境实测、反事实配对ID完整、终止且非成功、奖励非正、队列标签与结果派生规则一致；非人工签字。</x:v>
      </x:c>
    </x:row>
    <x:row r="345" ht="46" customHeight="1">
      <x:c r="A345" s="6" t="str">
        <x:v>1</x:v>
      </x:c>
      <x:c r="B345" s="6" t="str">
        <x:v>b7ba16ebee1fa4e685d1</x:v>
      </x:c>
      <x:c r="C345" s="6" t="str">
        <x:v>evidence_approved</x:v>
      </x:c>
      <x:c r="D345" s="6" t="str">
        <x:v>codex-evidence-review-v1</x:v>
      </x:c>
      <x:c r="E345" s="22" t="n">
        <x:v>46244.40206471065</x:v>
      </x:c>
      <x:c r="F345" s="6" t="str">
        <x:v>20</x:v>
      </x:c>
      <x:c r="G345" s="20" t="str">
        <x:v>observed_counterfactual;severe_failure;terminal</x:v>
      </x:c>
      <x:c r="H345" s="20" t="str">
        <x:v>browsergym/miniwob.click-dialog-2</x:v>
      </x:c>
      <x:c r="I345" s="6" t="str">
        <x:v>browsergym/miniwob.click-dialog-2</x:v>
      </x:c>
      <x:c r="J345" s="6" t="str">
        <x:v>cf-click-dialog-2-seed1019-hard_wrong_target</x:v>
      </x:c>
      <x:c r="K345" s="6" t="str">
        <x:v>0</x:v>
      </x:c>
      <x:c r="L345" s="20" t="str">
        <x:v>Click the button in the dialog box labeled "Cancel".</x:v>
      </x:c>
      <x:c r="M345" s="20" t="str">
        <x:v>click("28", "left")</x:v>
      </x:c>
      <x:c r="N345" s="6" t="str">
        <x:v>0.0</x:v>
      </x:c>
      <x:c r="O345" s="20" t="str">
        <x:v>file:///root/autodl-tmp/miniwob-plusplus/miniwob/html/miniwob/click-dialog-2.html</x:v>
      </x:c>
      <x:c r="P345" s="20" t="str">
        <x:v>Click Dialog Task</x:v>
      </x:c>
      <x:c r="Q345" s="20" t="str">
        <x:v>RootWebArea 'Click Dialog Task', focused [17] dialog '', clickable, modal=False, describedby='dialog' StaticText '' [20] button 'Close', clickable [24] paragraph '' StaticText 'Amet vitae enim nec.' [27] button 'Cancel', clickable, focused [28] button 'OK', clickable</x:v>
      </x:c>
      <x:c r="R345" s="20" t="str">
        <x:v>file:///root/autodl-tmp/miniwob-plusplus/miniwob/html/miniwob/click-dialog-2.html</x:v>
      </x:c>
      <x:c r="S345" s="20" t="str">
        <x:v>Click Dialog Task</x:v>
      </x:c>
      <x:c r="T345" s="20" t="str">
        <x:v>RootWebArea 'Click Dialog Task', focused [17] dialog '', clickable, modal=False, describedby='dialog' StaticText '' [20] button 'Close', clickable [24] paragraph '' StaticText 'Amet vitae enim nec.' [27] button 'Cancel', clickable [28] button 'OK', clickable, focused</x:v>
      </x:c>
      <x:c r="U345" s="6" t="str">
        <x:v>0</x:v>
      </x:c>
      <x:c r="V345" s="6" t="str">
        <x:v>0</x:v>
      </x:c>
      <x:c r="W345" s="6" t="str">
        <x:v>0</x:v>
      </x:c>
      <x:c r="X345" s="6" t="str">
        <x:v>1</x:v>
      </x:c>
      <x:c r="Y345" s="6" t="str">
        <x:v>0</x:v>
      </x:c>
      <x:c r="Z345" s="6" t="str">
        <x:v>1</x:v>
      </x:c>
      <x:c r="AA345" s="6" t="str">
        <x:v>0.0</x:v>
      </x:c>
      <x:c r="AB345" s="20" t="str">
        <x:v>Codex证据复核v1：原始记录唯一匹配、环境实测、反事实配对ID完整、终止且非成功、奖励非正、队列标签与结果派生规则一致；非人工签字。</x:v>
      </x:c>
    </x:row>
    <x:row r="346" ht="46" customHeight="1">
      <x:c r="A346" s="6" t="str">
        <x:v>1</x:v>
      </x:c>
      <x:c r="B346" s="6" t="str">
        <x:v>3fedea2b198aff4d9c53</x:v>
      </x:c>
      <x:c r="C346" s="6" t="str">
        <x:v>evidence_approved</x:v>
      </x:c>
      <x:c r="D346" s="6" t="str">
        <x:v>codex-evidence-review-v1</x:v>
      </x:c>
      <x:c r="E346" s="22" t="n">
        <x:v>46244.40206471065</x:v>
      </x:c>
      <x:c r="F346" s="6" t="str">
        <x:v>20</x:v>
      </x:c>
      <x:c r="G346" s="20" t="str">
        <x:v>observed_counterfactual;severe_failure;terminal</x:v>
      </x:c>
      <x:c r="H346" s="20" t="str">
        <x:v>browsergym/miniwob.click-menu</x:v>
      </x:c>
      <x:c r="I346" s="6" t="str">
        <x:v>browsergym/miniwob.click-menu</x:v>
      </x:c>
      <x:c r="J346" s="6" t="str">
        <x:v>cf-click-menu-seed1032-wrong_action_type</x:v>
      </x:c>
      <x:c r="K346" s="6" t="str">
        <x:v>0</x:v>
      </x:c>
      <x:c r="L346" s="20" t="str">
        <x:v>Select Elaine&gt;Adda</x:v>
      </x:c>
      <x:c r="M346" s="20" t="str">
        <x:v>click("21", "left")</x:v>
      </x:c>
      <x:c r="N346" s="6" t="str">
        <x:v>0.0</x:v>
      </x:c>
      <x:c r="O346" s="20" t="str">
        <x:v>file:///root/autodl-tmp/miniwob-plusplus/miniwob/html/miniwob/click-menu.html</x:v>
      </x:c>
      <x:c r="P346" s="20" t="str">
        <x:v>Click Menu Task</x:v>
      </x:c>
      <x:c r="Q346" s="20" t="str">
        <x:v>RootWebArea 'Click Menu Task', focused [17] menu '', clickable, orientation='vertical' image '' [19] menuitem 'Nancy' image '' [21] menuitem 'Elaine', hasPopup='menu'</x:v>
      </x:c>
      <x:c r="R346" s="20" t="str">
        <x:v>file:///root/autodl-tmp/miniwob-plusplus/miniwob/html/miniwob/click-menu.html</x:v>
      </x:c>
      <x:c r="S346" s="20" t="str">
        <x:v>Click Menu Task</x:v>
      </x:c>
      <x:c r="T346" s="20" t="str">
        <x:v>RootWebArea 'Click Menu Task', focused [17] menu '', clickable, orientation='vertical' image '' [19] menuitem 'Nancy' image '' [21] menuitem 'Elaine', hasPopup='menu' [23] menu '', orientation='vertical' image '' [25] menuitem 'Adda' image '' [27] menuitem 'Brandise', hasPopup='menu'</x:v>
      </x:c>
      <x:c r="U346" s="6" t="str">
        <x:v>0</x:v>
      </x:c>
      <x:c r="V346" s="6" t="str">
        <x:v>0</x:v>
      </x:c>
      <x:c r="W346" s="6" t="str">
        <x:v>0</x:v>
      </x:c>
      <x:c r="X346" s="6" t="str">
        <x:v>1</x:v>
      </x:c>
      <x:c r="Y346" s="6" t="str">
        <x:v>0</x:v>
      </x:c>
      <x:c r="Z346" s="6" t="str">
        <x:v>1</x:v>
      </x:c>
      <x:c r="AA346" s="6" t="str">
        <x:v>0.0</x:v>
      </x:c>
      <x:c r="AB346" s="20" t="str">
        <x:v>Codex证据复核v1：原始记录唯一匹配、环境实测、反事实配对ID完整、终止且非成功、奖励非正、队列标签与结果派生规则一致；非人工签字。</x:v>
      </x:c>
    </x:row>
    <x:row r="347" ht="46" customHeight="1">
      <x:c r="A347" s="6" t="str">
        <x:v>1</x:v>
      </x:c>
      <x:c r="B347" s="6" t="str">
        <x:v>c69d43933ac9c5c76a36</x:v>
      </x:c>
      <x:c r="C347" s="6" t="str">
        <x:v>evidence_approved</x:v>
      </x:c>
      <x:c r="D347" s="6" t="str">
        <x:v>codex-evidence-review-v1</x:v>
      </x:c>
      <x:c r="E347" s="22" t="n">
        <x:v>46244.40206471065</x:v>
      </x:c>
      <x:c r="F347" s="6" t="str">
        <x:v>20</x:v>
      </x:c>
      <x:c r="G347" s="20" t="str">
        <x:v>observed_counterfactual;severe_failure;terminal</x:v>
      </x:c>
      <x:c r="H347" s="20" t="str">
        <x:v>browsergym/miniwob.choose-list</x:v>
      </x:c>
      <x:c r="I347" s="6" t="str">
        <x:v>browsergym/miniwob.choose-list</x:v>
      </x:c>
      <x:c r="J347" s="6" t="str">
        <x:v>cf-choose-list-seed1002-missing_target</x:v>
      </x:c>
      <x:c r="K347" s="6" t="str">
        <x:v>0</x:v>
      </x:c>
      <x:c r="L347" s="20" t="str">
        <x:v>Select India from the list and click Submit.</x:v>
      </x:c>
      <x:c r="M347" s="20" t="str">
        <x:v>click("18", "left")</x:v>
      </x:c>
      <x:c r="N347" s="6" t="str">
        <x:v>0.0</x:v>
      </x:c>
      <x:c r="O347" s="20" t="str">
        <x:v>file:///root/autodl-tmp/miniwob-plusplus/miniwob/html/miniwob/choose-list.html</x:v>
      </x:c>
      <x:c r="P347" s="20" t="str">
        <x:v>Choose List Task</x:v>
      </x:c>
      <x:c r="Q347" s="20" t="str">
        <x:v>RootWebArea 'Choose List Task', focused [13] combobox '' value='Grenada', hasPopup='menu', expanded=False [18] button 'Submit', clickable</x:v>
      </x:c>
      <x:c r="R347" s="20" t="str">
        <x:v>file:///root/autodl-tmp/miniwob-plusplus/miniwob/html/miniwob/choose-list.html</x:v>
      </x:c>
      <x:c r="S347" s="20" t="str">
        <x:v>Choose List Task</x:v>
      </x:c>
      <x:c r="T347" s="20" t="str">
        <x:v>RootWebArea 'Choose List Task', focused [13] combobox '' value='Grenada', hasPopup='menu', expanded=False [18] button 'Submit', clickable, focused</x:v>
      </x:c>
      <x:c r="U347" s="6" t="str">
        <x:v>0</x:v>
      </x:c>
      <x:c r="V347" s="6" t="str">
        <x:v>0</x:v>
      </x:c>
      <x:c r="W347" s="6" t="str">
        <x:v>0</x:v>
      </x:c>
      <x:c r="X347" s="6" t="str">
        <x:v>1</x:v>
      </x:c>
      <x:c r="Y347" s="6" t="str">
        <x:v>0</x:v>
      </x:c>
      <x:c r="Z347" s="6" t="str">
        <x:v>1</x:v>
      </x:c>
      <x:c r="AA347" s="6" t="str">
        <x:v>0.0</x:v>
      </x:c>
      <x:c r="AB347" s="20" t="str">
        <x:v>Codex证据复核v1：原始记录唯一匹配、环境实测、反事实配对ID完整、终止且非成功、奖励非正、队列标签与结果派生规则一致；非人工签字。</x:v>
      </x:c>
    </x:row>
    <x:row r="348" ht="46" customHeight="1">
      <x:c r="A348" s="6" t="str">
        <x:v>1</x:v>
      </x:c>
      <x:c r="B348" s="6" t="str">
        <x:v>89e50985ee4596f745b7</x:v>
      </x:c>
      <x:c r="C348" s="6" t="str">
        <x:v>evidence_approved</x:v>
      </x:c>
      <x:c r="D348" s="6" t="str">
        <x:v>codex-evidence-review-v1</x:v>
      </x:c>
      <x:c r="E348" s="22" t="n">
        <x:v>46244.40206471065</x:v>
      </x:c>
      <x:c r="F348" s="6" t="str">
        <x:v>20</x:v>
      </x:c>
      <x:c r="G348" s="20" t="str">
        <x:v>observed_counterfactual;severe_failure;terminal</x:v>
      </x:c>
      <x:c r="H348" s="20" t="str">
        <x:v>browsergym/miniwob.enter-text-dynamic</x:v>
      </x:c>
      <x:c r="I348" s="6" t="str">
        <x:v>browsergym/miniwob.enter-text-dynamic</x:v>
      </x:c>
      <x:c r="J348" s="6" t="str">
        <x:v>cf-enter-text-dynamic-seed1011-hard_wrong_target</x:v>
      </x:c>
      <x:c r="K348" s="6" t="str">
        <x:v>0</x:v>
      </x:c>
      <x:c r="L348" s="20" t="str">
        <x:v>Enter "kaWX" into the text field and press Submit.</x:v>
      </x:c>
      <x:c r="M348" s="20" t="str">
        <x:v>click("15", "left")</x:v>
      </x:c>
      <x:c r="N348" s="6" t="str">
        <x:v>0.0</x:v>
      </x:c>
      <x:c r="O348" s="20" t="str">
        <x:v>file:///root/autodl-tmp/miniwob-plusplus/miniwob/html/miniwob/enter-text-dynamic.html</x:v>
      </x:c>
      <x:c r="P348" s="20" t="str">
        <x:v>Enter Dynamic Text Task</x:v>
      </x:c>
      <x:c r="Q348" s="20" t="str">
        <x:v>RootWebArea 'Enter Dynamic Text Task', focused [14] textbox '', clickable [15] button 'Submit', clickable</x:v>
      </x:c>
      <x:c r="R348" s="20" t="str">
        <x:v>file:///root/autodl-tmp/miniwob-plusplus/miniwob/html/miniwob/enter-text-dynamic.html</x:v>
      </x:c>
      <x:c r="S348" s="20" t="str">
        <x:v>Enter Dynamic Text Task</x:v>
      </x:c>
      <x:c r="T348" s="20" t="str">
        <x:v>RootWebArea 'Enter Dynamic Text Task', focused [14] textbox '', clickable [15] button 'Submit', clickable, focused</x:v>
      </x:c>
      <x:c r="U348" s="6" t="str">
        <x:v>0</x:v>
      </x:c>
      <x:c r="V348" s="6" t="str">
        <x:v>0</x:v>
      </x:c>
      <x:c r="W348" s="6" t="str">
        <x:v>0</x:v>
      </x:c>
      <x:c r="X348" s="6" t="str">
        <x:v>1</x:v>
      </x:c>
      <x:c r="Y348" s="6" t="str">
        <x:v>0</x:v>
      </x:c>
      <x:c r="Z348" s="6" t="str">
        <x:v>1</x:v>
      </x:c>
      <x:c r="AA348" s="6" t="str">
        <x:v>0.0</x:v>
      </x:c>
      <x:c r="AB348" s="20" t="str">
        <x:v>Codex证据复核v1：原始记录唯一匹配、环境实测、反事实配对ID完整、终止且非成功、奖励非正、队列标签与结果派生规则一致；非人工签字。</x:v>
      </x:c>
    </x:row>
    <x:row r="349" ht="46" customHeight="1">
      <x:c r="A349" s="6" t="str">
        <x:v>1</x:v>
      </x:c>
      <x:c r="B349" s="6" t="str">
        <x:v>33ac5fc049ed55167d97</x:v>
      </x:c>
      <x:c r="C349" s="6" t="str">
        <x:v>evidence_approved</x:v>
      </x:c>
      <x:c r="D349" s="6" t="str">
        <x:v>codex-evidence-review-v1</x:v>
      </x:c>
      <x:c r="E349" s="22" t="n">
        <x:v>46244.40206471065</x:v>
      </x:c>
      <x:c r="F349" s="6" t="str">
        <x:v>20</x:v>
      </x:c>
      <x:c r="G349" s="20" t="str">
        <x:v>observed_counterfactual;severe_failure;terminal</x:v>
      </x:c>
      <x:c r="H349" s="20" t="str">
        <x:v>browsergym/miniwob.enter-text-dynamic</x:v>
      </x:c>
      <x:c r="I349" s="6" t="str">
        <x:v>browsergym/miniwob.enter-text-dynamic</x:v>
      </x:c>
      <x:c r="J349" s="6" t="str">
        <x:v>cf-enter-text-dynamic-seed1033-hard_wrong_target</x:v>
      </x:c>
      <x:c r="K349" s="6" t="str">
        <x:v>0</x:v>
      </x:c>
      <x:c r="L349" s="20" t="str">
        <x:v>Enter "2eiBv" into the text field and press Submit.</x:v>
      </x:c>
      <x:c r="M349" s="20" t="str">
        <x:v>click("15", "left")</x:v>
      </x:c>
      <x:c r="N349" s="6" t="str">
        <x:v>0.0</x:v>
      </x:c>
      <x:c r="O349" s="20" t="str">
        <x:v>file:///root/autodl-tmp/miniwob-plusplus/miniwob/html/miniwob/enter-text-dynamic.html</x:v>
      </x:c>
      <x:c r="P349" s="20" t="str">
        <x:v>Enter Dynamic Text Task</x:v>
      </x:c>
      <x:c r="Q349" s="20" t="str">
        <x:v>RootWebArea 'Enter Dynamic Text Task', focused [14] textbox '', clickable [15] button 'Submit', clickable</x:v>
      </x:c>
      <x:c r="R349" s="20" t="str">
        <x:v>file:///root/autodl-tmp/miniwob-plusplus/miniwob/html/miniwob/enter-text-dynamic.html</x:v>
      </x:c>
      <x:c r="S349" s="20" t="str">
        <x:v>Enter Dynamic Text Task</x:v>
      </x:c>
      <x:c r="T349" s="20" t="str">
        <x:v>RootWebArea 'Enter Dynamic Text Task', focused [14] textbox '', clickable [15] button 'Submit', clickable, focused</x:v>
      </x:c>
      <x:c r="U349" s="6" t="str">
        <x:v>0</x:v>
      </x:c>
      <x:c r="V349" s="6" t="str">
        <x:v>0</x:v>
      </x:c>
      <x:c r="W349" s="6" t="str">
        <x:v>0</x:v>
      </x:c>
      <x:c r="X349" s="6" t="str">
        <x:v>1</x:v>
      </x:c>
      <x:c r="Y349" s="6" t="str">
        <x:v>0</x:v>
      </x:c>
      <x:c r="Z349" s="6" t="str">
        <x:v>1</x:v>
      </x:c>
      <x:c r="AA349" s="6" t="str">
        <x:v>0.0</x:v>
      </x:c>
      <x:c r="AB349" s="20" t="str">
        <x:v>Codex证据复核v1：原始记录唯一匹配、环境实测、反事实配对ID完整、终止且非成功、奖励非正、队列标签与结果派生规则一致；非人工签字。</x:v>
      </x:c>
    </x:row>
    <x:row r="350" ht="46" customHeight="1">
      <x:c r="A350" s="6" t="str">
        <x:v>1</x:v>
      </x:c>
      <x:c r="B350" s="6" t="str">
        <x:v>9473d73164dea600768c</x:v>
      </x:c>
      <x:c r="C350" s="6" t="str">
        <x:v>evidence_approved</x:v>
      </x:c>
      <x:c r="D350" s="6" t="str">
        <x:v>codex-evidence-review-v1</x:v>
      </x:c>
      <x:c r="E350" s="22" t="n">
        <x:v>46244.40206471065</x:v>
      </x:c>
      <x:c r="F350" s="6" t="str">
        <x:v>20</x:v>
      </x:c>
      <x:c r="G350" s="20" t="str">
        <x:v>observed_counterfactual;severe_failure;terminal</x:v>
      </x:c>
      <x:c r="H350" s="20" t="str">
        <x:v>browsergym/miniwob.enter-text</x:v>
      </x:c>
      <x:c r="I350" s="6" t="str">
        <x:v>browsergym/miniwob.enter-text</x:v>
      </x:c>
      <x:c r="J350" s="6" t="str">
        <x:v>cf-enter-text-seed1027-hard_wrong_target</x:v>
      </x:c>
      <x:c r="K350" s="6" t="str">
        <x:v>0</x:v>
      </x:c>
      <x:c r="L350" s="20" t="str">
        <x:v>Enter "Kanesha" into the text field and press Submit.</x:v>
      </x:c>
      <x:c r="M350" s="20" t="str">
        <x:v>click("15", "left")</x:v>
      </x:c>
      <x:c r="N350" s="6" t="str">
        <x:v>0.0</x:v>
      </x:c>
      <x:c r="O350" s="20" t="str">
        <x:v>file:///root/autodl-tmp/miniwob-plusplus/miniwob/html/miniwob/enter-text.html</x:v>
      </x:c>
      <x:c r="P350" s="20" t="str">
        <x:v>Enter Text Task</x:v>
      </x:c>
      <x:c r="Q350" s="20" t="str">
        <x:v>RootWebArea 'Enter Text Task', focused [14] textbox '', clickable [15] button 'Submit', clickable</x:v>
      </x:c>
      <x:c r="R350" s="20" t="str">
        <x:v>file:///root/autodl-tmp/miniwob-plusplus/miniwob/html/miniwob/enter-text.html</x:v>
      </x:c>
      <x:c r="S350" s="20" t="str">
        <x:v>Enter Text Task</x:v>
      </x:c>
      <x:c r="T350" s="20" t="str">
        <x:v>RootWebArea 'Enter Text Task', focused [14] textbox '', clickable [15] button 'Submit', clickable, focused</x:v>
      </x:c>
      <x:c r="U350" s="6" t="str">
        <x:v>0</x:v>
      </x:c>
      <x:c r="V350" s="6" t="str">
        <x:v>0</x:v>
      </x:c>
      <x:c r="W350" s="6" t="str">
        <x:v>0</x:v>
      </x:c>
      <x:c r="X350" s="6" t="str">
        <x:v>1</x:v>
      </x:c>
      <x:c r="Y350" s="6" t="str">
        <x:v>0</x:v>
      </x:c>
      <x:c r="Z350" s="6" t="str">
        <x:v>1</x:v>
      </x:c>
      <x:c r="AA350" s="6" t="str">
        <x:v>0.0</x:v>
      </x:c>
      <x:c r="AB350" s="20" t="str">
        <x:v>Codex证据复核v1：原始记录唯一匹配、环境实测、反事实配对ID完整、终止且非成功、奖励非正、队列标签与结果派生规则一致；非人工签字。</x:v>
      </x:c>
    </x:row>
    <x:row r="351" ht="46" customHeight="1">
      <x:c r="A351" s="6" t="str">
        <x:v>1</x:v>
      </x:c>
      <x:c r="B351" s="6" t="str">
        <x:v>8f1106f0d5e950169538</x:v>
      </x:c>
      <x:c r="C351" s="6" t="str">
        <x:v>evidence_approved</x:v>
      </x:c>
      <x:c r="D351" s="6" t="str">
        <x:v>codex-evidence-review-v1</x:v>
      </x:c>
      <x:c r="E351" s="22" t="n">
        <x:v>46244.40206471065</x:v>
      </x:c>
      <x:c r="F351" s="6" t="str">
        <x:v>20</x:v>
      </x:c>
      <x:c r="G351" s="20" t="str">
        <x:v>observed_counterfactual;severe_failure;terminal</x:v>
      </x:c>
      <x:c r="H351" s="20" t="str">
        <x:v>browsergym/miniwob.choose-list</x:v>
      </x:c>
      <x:c r="I351" s="6" t="str">
        <x:v>browsergym/miniwob.choose-list</x:v>
      </x:c>
      <x:c r="J351" s="6" t="str">
        <x:v>cf-choose-list-seed1018-missing_target</x:v>
      </x:c>
      <x:c r="K351" s="6" t="str">
        <x:v>0</x:v>
      </x:c>
      <x:c r="L351" s="20" t="str">
        <x:v>Select Chile from the list and click Submit.</x:v>
      </x:c>
      <x:c r="M351" s="20" t="str">
        <x:v>click("20", "left")</x:v>
      </x:c>
      <x:c r="N351" s="6" t="str">
        <x:v>0.0</x:v>
      </x:c>
      <x:c r="O351" s="20" t="str">
        <x:v>file:///root/autodl-tmp/miniwob-plusplus/miniwob/html/miniwob/choose-list.html</x:v>
      </x:c>
      <x:c r="P351" s="20" t="str">
        <x:v>Choose List Task</x:v>
      </x:c>
      <x:c r="Q351" s="20" t="str">
        <x:v>RootWebArea 'Choose List Task', focused [13] combobox '' value='Tajikistan', hasPopup='menu', expanded=False [20] button 'Submit', clickable</x:v>
      </x:c>
      <x:c r="R351" s="20" t="str">
        <x:v>file:///root/autodl-tmp/miniwob-plusplus/miniwob/html/miniwob/choose-list.html</x:v>
      </x:c>
      <x:c r="S351" s="20" t="str">
        <x:v>Choose List Task</x:v>
      </x:c>
      <x:c r="T351" s="20" t="str">
        <x:v>RootWebArea 'Choose List Task', focused [13] combobox '' value='Tajikistan', hasPopup='menu', expanded=False [20] button 'Submit', clickable, focused</x:v>
      </x:c>
      <x:c r="U351" s="6" t="str">
        <x:v>0</x:v>
      </x:c>
      <x:c r="V351" s="6" t="str">
        <x:v>0</x:v>
      </x:c>
      <x:c r="W351" s="6" t="str">
        <x:v>0</x:v>
      </x:c>
      <x:c r="X351" s="6" t="str">
        <x:v>1</x:v>
      </x:c>
      <x:c r="Y351" s="6" t="str">
        <x:v>0</x:v>
      </x:c>
      <x:c r="Z351" s="6" t="str">
        <x:v>1</x:v>
      </x:c>
      <x:c r="AA351" s="6" t="str">
        <x:v>0.0</x:v>
      </x:c>
      <x:c r="AB351" s="20" t="str">
        <x:v>Codex证据复核v1：原始记录唯一匹配、环境实测、反事实配对ID完整、终止且非成功、奖励非正、队列标签与结果派生规则一致；非人工签字。</x:v>
      </x:c>
    </x:row>
    <x:row r="352" ht="46" customHeight="1">
      <x:c r="A352" s="6" t="str">
        <x:v>1</x:v>
      </x:c>
      <x:c r="B352" s="6" t="str">
        <x:v>05afff7952078ff5bcbd</x:v>
      </x:c>
      <x:c r="C352" s="6" t="str">
        <x:v>evidence_approved</x:v>
      </x:c>
      <x:c r="D352" s="6" t="str">
        <x:v>codex-evidence-review-v1</x:v>
      </x:c>
      <x:c r="E352" s="22" t="n">
        <x:v>46244.40206471065</x:v>
      </x:c>
      <x:c r="F352" s="6" t="str">
        <x:v>20</x:v>
      </x:c>
      <x:c r="G352" s="20" t="str">
        <x:v>observed_counterfactual;severe_failure;terminal</x:v>
      </x:c>
      <x:c r="H352" s="20" t="str">
        <x:v>browsergym/miniwob.click-widget</x:v>
      </x:c>
      <x:c r="I352" s="6" t="str">
        <x:v>browsergym/miniwob.click-widget</x:v>
      </x:c>
      <x:c r="J352" s="6" t="str">
        <x:v>cf-click-widget-seed1020-hard_wrong_target</x:v>
      </x:c>
      <x:c r="K352" s="6" t="str">
        <x:v>0</x:v>
      </x:c>
      <x:c r="L352" s="20" t="str">
        <x:v>Click on a "textarea" widget.</x:v>
      </x:c>
      <x:c r="M352" s="20" t="str">
        <x:v>click("17", "left")</x:v>
      </x:c>
      <x:c r="N352" s="6" t="str">
        <x:v>0.0</x:v>
      </x:c>
      <x:c r="O352" s="20" t="str">
        <x:v>file:///root/autodl-tmp/miniwob-plusplus/miniwob/html/miniwob/click-widget.html</x:v>
      </x:c>
      <x:c r="P352" s="20" t="str">
        <x:v>Click Widget Task</x:v>
      </x:c>
      <x:c r="Q352" s="20" t="str">
        <x:v>RootWebArea 'Click Widget Task', focused [14] LabelText '', clickable [15] checkbox 'VG', clickable, checked='false' StaticText 'VG' [17] button 'Qn' [19] textbox '' value='Ar' StaticText 'Ar' [21] button 'Q' [23] textbox '' value='E' StaticText 'E'</x:v>
      </x:c>
      <x:c r="R352" s="20" t="str">
        <x:v>file:///root/autodl-tmp/miniwob-plusplus/miniwob/html/miniwob/click-widget.html</x:v>
      </x:c>
      <x:c r="S352" s="20" t="str">
        <x:v>Click Widget Task</x:v>
      </x:c>
      <x:c r="T352" s="20" t="str">
        <x:v>RootWebArea 'Click Widget Task', focused [14] LabelText '', clickable [15] checkbox 'VG', clickable, checked='false' StaticText 'VG' [17] button 'Qn', focused [19] textbox '' value='Ar' StaticText 'Ar' [21] button 'Q' [23] textbox '' value='E' StaticText 'E'</x:v>
      </x:c>
      <x:c r="U352" s="6" t="str">
        <x:v>0</x:v>
      </x:c>
      <x:c r="V352" s="6" t="str">
        <x:v>0</x:v>
      </x:c>
      <x:c r="W352" s="6" t="str">
        <x:v>0</x:v>
      </x:c>
      <x:c r="X352" s="6" t="str">
        <x:v>1</x:v>
      </x:c>
      <x:c r="Y352" s="6" t="str">
        <x:v>0</x:v>
      </x:c>
      <x:c r="Z352" s="6" t="str">
        <x:v>1</x:v>
      </x:c>
      <x:c r="AA352" s="6" t="str">
        <x:v>0.0</x:v>
      </x:c>
      <x:c r="AB352" s="20" t="str">
        <x:v>Codex证据复核v1：原始记录唯一匹配、环境实测、反事实配对ID完整、终止且非成功、奖励非正、队列标签与结果派生规则一致；非人工签字。</x:v>
      </x:c>
    </x:row>
    <x:row r="353" ht="46" customHeight="1">
      <x:c r="A353" s="6" t="str">
        <x:v>1</x:v>
      </x:c>
      <x:c r="B353" s="6" t="str">
        <x:v>d3bc151c913198bfabc8</x:v>
      </x:c>
      <x:c r="C353" s="6" t="str">
        <x:v>evidence_approved</x:v>
      </x:c>
      <x:c r="D353" s="6" t="str">
        <x:v>codex-evidence-review-v1</x:v>
      </x:c>
      <x:c r="E353" s="22" t="n">
        <x:v>46244.40206471065</x:v>
      </x:c>
      <x:c r="F353" s="6" t="str">
        <x:v>20</x:v>
      </x:c>
      <x:c r="G353" s="20" t="str">
        <x:v>observed_counterfactual;severe_failure;terminal</x:v>
      </x:c>
      <x:c r="H353" s="20" t="str">
        <x:v>browsergym/miniwob.sign-agreement</x:v>
      </x:c>
      <x:c r="I353" s="6" t="str">
        <x:v>browsergym/miniwob.sign-agreement</x:v>
      </x:c>
      <x:c r="J353" s="6" t="str">
        <x:v>cf-sign-agreement-seed1032-hard_wrong_target</x:v>
      </x:c>
      <x:c r="K353" s="6" t="str">
        <x:v>0</x:v>
      </x:c>
      <x:c r="L353" s="20" t="str">
        <x:v>Scroll to the bottom of the textarea, enter the name "Keli" then press "Cancel"</x:v>
      </x:c>
      <x:c r="M353" s="20" t="str">
        <x:v>click("17", "left")</x:v>
      </x:c>
      <x:c r="N353" s="6" t="str">
        <x:v>0.0</x:v>
      </x:c>
      <x:c r="O353" s="20" t="str">
        <x:v>file:///root/autodl-tmp/miniwob-plusplus/miniwob/html/miniwob/sign-agreement.html</x:v>
      </x:c>
      <x:c r="P353" s="20" t="str">
        <x:v>Sign Agreement Task</x:v>
      </x:c>
      <x:c r="Q353" s="20" t="str">
        <x:v>RootWebArea 'Sign Agreement Task', focused [14] heading 'User agreement' [15] textbox '' value='Leo. Vitae porttitor non. In mauris ut. Eu maecenas iaculis platea nisl condimentum. Ut sed fusce metus, proin mauris aenean vulputate sapien. Amet varius aliquam tortor. Donec quam nulla. Maecenas. Est, eu sed. Aenean. Nunc,. Viverra netus. Et. Amet, mi at sagittis purus. Ultrices ut felis. Eget cursus non mauris massa, imperdiet. Accumsan lobortis. Semper non molestie a porttitor non tellus donec lacinia amet gravida malesuada rhoncus nulla aliquam neque sollicitudin. Pretium. Cursus fringilla. Vitae sit ultrices neque. Sapien dignissim amet, consequat, velit accums… StaticText 'Leo. Vitae porttitor non. In mauris ut. Eu maecenas iaculis platea nisl condimentum. Ut sed fusce metus, proin mauris aenean vulputate sapien. Amet varius aliquam tortor. Donec quam nulla. Maecenas. Est, eu sed. Aen…</x:v>
      </x:c>
      <x:c r="R353" s="20" t="str">
        <x:v>file:///root/autodl-tmp/miniwob-plusplus/miniwob/html/miniwob/sign-agreement.html</x:v>
      </x:c>
      <x:c r="S353" s="20" t="str">
        <x:v>Sign Agreement Task</x:v>
      </x:c>
      <x:c r="T353" s="20" t="str">
        <x:v>RootWebArea 'Sign Agreement Task', focused [14] heading 'User agreement' [15] textbox '' value='Leo. Vitae porttitor non. In mauris ut. Eu maecenas iaculis platea nisl condimentum. Ut sed fusce metus, proin mauris aenean vulputate sapien. Amet varius aliquam tortor. Donec quam nulla. Maecenas. Est, eu sed. Aenean. Nunc,. Viverra netus. Et. Amet, mi at sagittis purus. Ultrices ut felis. Eget cursus non mauris massa, imperdiet. Accumsan lobortis. Semper non molestie a porttitor non tellus donec lacinia amet gravida malesuada rhoncus nulla aliquam neque sollicitudin. Pretium. Cursus fringilla. Vitae sit ultrices neque. Sapien dignissim amet, consequat, velit accums… StaticText 'Leo. Vitae porttitor non. In mauris ut. Eu maecenas iaculis platea nisl condimentum. Ut sed fusce metus, proin mauris aenean vulputate sapien. Amet varius aliquam tortor. Donec quam nulla. Maecenas. Est, eu sed. Aen…</x:v>
      </x:c>
      <x:c r="U353" s="6" t="str">
        <x:v>0</x:v>
      </x:c>
      <x:c r="V353" s="6" t="str">
        <x:v>0</x:v>
      </x:c>
      <x:c r="W353" s="6" t="str">
        <x:v>0</x:v>
      </x:c>
      <x:c r="X353" s="6" t="str">
        <x:v>1</x:v>
      </x:c>
      <x:c r="Y353" s="6" t="str">
        <x:v>0</x:v>
      </x:c>
      <x:c r="Z353" s="6" t="str">
        <x:v>1</x:v>
      </x:c>
      <x:c r="AA353" s="6" t="str">
        <x:v>0.0</x:v>
      </x:c>
      <x:c r="AB353" s="20" t="str">
        <x:v>Codex证据复核v1：原始记录唯一匹配、环境实测、反事实配对ID完整、终止且非成功、奖励非正、队列标签与结果派生规则一致；非人工签字。</x:v>
      </x:c>
    </x:row>
    <x:row r="354" ht="46" customHeight="1">
      <x:c r="A354" s="6" t="str">
        <x:v>1</x:v>
      </x:c>
      <x:c r="B354" s="6" t="str">
        <x:v>939cc8647f9fdb5bdfc0</x:v>
      </x:c>
      <x:c r="C354" s="6" t="str">
        <x:v>evidence_approved</x:v>
      </x:c>
      <x:c r="D354" s="6" t="str">
        <x:v>codex-evidence-review-v1</x:v>
      </x:c>
      <x:c r="E354" s="22" t="n">
        <x:v>46244.40206471065</x:v>
      </x:c>
      <x:c r="F354" s="6" t="str">
        <x:v>20</x:v>
      </x:c>
      <x:c r="G354" s="20" t="str">
        <x:v>observed_counterfactual;severe_failure;terminal</x:v>
      </x:c>
      <x:c r="H354" s="20" t="str">
        <x:v>browsergym/miniwob.click-button</x:v>
      </x:c>
      <x:c r="I354" s="6" t="str">
        <x:v>browsergym/miniwob.click-button</x:v>
      </x:c>
      <x:c r="J354" s="6" t="str">
        <x:v>cf-click-button-seed1022-hard_wrong_target</x:v>
      </x:c>
      <x:c r="K354" s="6" t="str">
        <x:v>0</x:v>
      </x:c>
      <x:c r="L354" s="20" t="str">
        <x:v>Click on the "Cancel" button.</x:v>
      </x:c>
      <x:c r="M354" s="20" t="str">
        <x:v>click("23", "left")</x:v>
      </x:c>
      <x:c r="N354" s="6" t="str">
        <x:v>0.0</x:v>
      </x:c>
      <x:c r="O354" s="20" t="str">
        <x:v>file:///root/autodl-tmp/miniwob-plusplus/miniwob/html/miniwob/click-button.html</x:v>
      </x:c>
      <x:c r="P354" s="20" t="str">
        <x:v>Click Button Task</x:v>
      </x:c>
      <x:c r="Q354" s="20" t="str">
        <x:v>RootWebArea 'Click Button Task', focused StaticText 'nunc, sed sed:' [13] textbox '', clickable [15] button 'Cancel', clickable [16] button 'okay', clickable StaticText 'aliquet scelerisque malesuada:' [19] textbox '', clickable [21] textbox '', clickable [23] button 'Ok', clickable</x:v>
      </x:c>
      <x:c r="R354" s="20" t="str">
        <x:v>file:///root/autodl-tmp/miniwob-plusplus/miniwob/html/miniwob/click-button.html</x:v>
      </x:c>
      <x:c r="S354" s="20" t="str">
        <x:v>Click Button Task</x:v>
      </x:c>
      <x:c r="T354" s="20" t="str">
        <x:v>RootWebArea 'Click Button Task', focused StaticText 'nunc, sed sed:' [13] textbox '', clickable [15] button 'Cancel', clickable [16] button 'okay', clickable StaticText 'aliquet scelerisque malesuada:' [19] textbox '', clickable [21] textbox '', clickable [23] button 'Ok', clickable, focused</x:v>
      </x:c>
      <x:c r="U354" s="6" t="str">
        <x:v>0</x:v>
      </x:c>
      <x:c r="V354" s="6" t="str">
        <x:v>0</x:v>
      </x:c>
      <x:c r="W354" s="6" t="str">
        <x:v>0</x:v>
      </x:c>
      <x:c r="X354" s="6" t="str">
        <x:v>1</x:v>
      </x:c>
      <x:c r="Y354" s="6" t="str">
        <x:v>0</x:v>
      </x:c>
      <x:c r="Z354" s="6" t="str">
        <x:v>1</x:v>
      </x:c>
      <x:c r="AA354" s="6" t="str">
        <x:v>0.0</x:v>
      </x:c>
      <x:c r="AB354" s="20" t="str">
        <x:v>Codex证据复核v1：原始记录唯一匹配、环境实测、反事实配对ID完整、终止且非成功、奖励非正、队列标签与结果派生规则一致；非人工签字。</x:v>
      </x:c>
    </x:row>
    <x:row r="355" ht="46" customHeight="1">
      <x:c r="A355" s="6" t="str">
        <x:v>1</x:v>
      </x:c>
      <x:c r="B355" s="6" t="str">
        <x:v>a974192bf8fd48b734d2</x:v>
      </x:c>
      <x:c r="C355" s="6" t="str">
        <x:v>evidence_approved</x:v>
      </x:c>
      <x:c r="D355" s="6" t="str">
        <x:v>codex-evidence-review-v1</x:v>
      </x:c>
      <x:c r="E355" s="22" t="n">
        <x:v>46244.40206471065</x:v>
      </x:c>
      <x:c r="F355" s="6" t="str">
        <x:v>20</x:v>
      </x:c>
      <x:c r="G355" s="20" t="str">
        <x:v>observed_counterfactual;severe_failure;terminal</x:v>
      </x:c>
      <x:c r="H355" s="20" t="str">
        <x:v>browsergym/miniwob.scroll-text-2</x:v>
      </x:c>
      <x:c r="I355" s="6" t="str">
        <x:v>browsergym/miniwob.scroll-text-2</x:v>
      </x:c>
      <x:c r="J355" s="6" t="str">
        <x:v>cf-scroll-text-2-seed1034-hard_wrong_target</x:v>
      </x:c>
      <x:c r="K355" s="6" t="str">
        <x:v>0</x:v>
      </x:c>
      <x:c r="L355" s="20" t="str">
        <x:v>Scroll the textarea to the top of the text hit submit.</x:v>
      </x:c>
      <x:c r="M355" s="20" t="str">
        <x:v>click("14", "left")</x:v>
      </x:c>
      <x:c r="N355" s="6" t="str">
        <x:v>0.0</x:v>
      </x:c>
      <x:c r="O355" s="20" t="str">
        <x:v>file:///root/autodl-tmp/miniwob-plusplus/miniwob/html/miniwob/scroll-text-2.html</x:v>
      </x:c>
      <x:c r="P355" s="20" t="str">
        <x:v>Scroll Text Task</x:v>
      </x:c>
      <x:c r="Q355" s="20" t="str">
        <x:v>RootWebArea 'Scroll Text Task', focused [13] textbox '' value='Lorem lectus porttitor cursus nulla volutpat. Amet mattis porttitor rutrum. Feugiat euismod turpis mattis id quis ac senectus nam. Faucibus libero nulla enim aliquam. Tellus nisi tortor volutpat nisl, purus, malesuada venenatis curabitur id. Mi nam varius purus. Orci, lacus gravida nisl,. Ac velit, id et sit vitae. Felis. Fermentum mauris integer ac faucibus adipiscing egestas elementum curabitur quis. Morbi dui id eu ac magnis aliquet. Ipsum iaculis at viverra varius velit.' StaticText 'Lorem lectus porttitor cursus nulla volutpat. Amet mattis porttitor rutrum. Feugiat euismod turpis mattis id quis ac senectus nam. Faucibus libero nulla enim aliquam. Tellus nisi tortor volutpat nisl, purus, malesuada venenatis curabitur id. Mi nam varius purus. Orci, lacus gravida nisl,. Ac velit, id et sit vitae. Felis. Fermentum mauris in…</x:v>
      </x:c>
      <x:c r="R355" s="20" t="str">
        <x:v>file:///root/autodl-tmp/miniwob-plusplus/miniwob/html/miniwob/scroll-text-2.html</x:v>
      </x:c>
      <x:c r="S355" s="20" t="str">
        <x:v>Scroll Text Task</x:v>
      </x:c>
      <x:c r="T355" s="20" t="str">
        <x:v>RootWebArea 'Scroll Text Task', focused [13] textbox '' value='Lorem lectus porttitor cursus nulla volutpat. Amet mattis porttitor rutrum. Feugiat euismod turpis mattis id quis ac senectus nam. Faucibus libero nulla enim aliquam. Tellus nisi tortor volutpat nisl, purus, malesuada venenatis curabitur id. Mi nam varius purus. Orci, lacus gravida nisl,. Ac velit, id et sit vitae. Felis. Fermentum mauris integer ac faucibus adipiscing egestas elementum curabitur quis. Morbi dui id eu ac magnis aliquet. Ipsum iaculis at viverra varius velit.' StaticText 'Lorem lectus porttitor cursus nulla volutpat. Amet mattis porttitor rutrum. Feugiat euismod turpis mattis id quis ac senectus nam. Faucibus libero nulla enim aliquam. Tellus nisi tortor volutpat nisl, purus, malesuada venenatis curabitur id. Mi nam varius purus. Orci, lacus gravida nisl,. Ac velit, id et sit vitae. Felis. Fermentum mauris in…</x:v>
      </x:c>
      <x:c r="U355" s="6" t="str">
        <x:v>0</x:v>
      </x:c>
      <x:c r="V355" s="6" t="str">
        <x:v>0</x:v>
      </x:c>
      <x:c r="W355" s="6" t="str">
        <x:v>0</x:v>
      </x:c>
      <x:c r="X355" s="6" t="str">
        <x:v>1</x:v>
      </x:c>
      <x:c r="Y355" s="6" t="str">
        <x:v>0</x:v>
      </x:c>
      <x:c r="Z355" s="6" t="str">
        <x:v>1</x:v>
      </x:c>
      <x:c r="AA355" s="6" t="str">
        <x:v>0.0</x:v>
      </x:c>
      <x:c r="AB355" s="20" t="str">
        <x:v>Codex证据复核v1：原始记录唯一匹配、环境实测、反事实配对ID完整、终止且非成功、奖励非正、队列标签与结果派生规则一致；非人工签字。</x:v>
      </x:c>
    </x:row>
    <x:row r="356" ht="46" customHeight="1">
      <x:c r="A356" s="6" t="str">
        <x:v>1</x:v>
      </x:c>
      <x:c r="B356" s="6" t="str">
        <x:v>ac8c228dbd0236cbd131</x:v>
      </x:c>
      <x:c r="C356" s="6" t="str">
        <x:v>evidence_approved</x:v>
      </x:c>
      <x:c r="D356" s="6" t="str">
        <x:v>codex-evidence-review-v1</x:v>
      </x:c>
      <x:c r="E356" s="22" t="n">
        <x:v>46244.40206471065</x:v>
      </x:c>
      <x:c r="F356" s="6" t="str">
        <x:v>20</x:v>
      </x:c>
      <x:c r="G356" s="20" t="str">
        <x:v>observed_counterfactual;severe_failure;terminal</x:v>
      </x:c>
      <x:c r="H356" s="20" t="str">
        <x:v>browsergym/miniwob.click-menu</x:v>
      </x:c>
      <x:c r="I356" s="6" t="str">
        <x:v>browsergym/miniwob.click-menu</x:v>
      </x:c>
      <x:c r="J356" s="6" t="str">
        <x:v>cf-click-menu-seed1027-missing_target</x:v>
      </x:c>
      <x:c r="K356" s="6" t="str">
        <x:v>0</x:v>
      </x:c>
      <x:c r="L356" s="20" t="str">
        <x:v>Select Floria&gt;Ina&gt;Larisa</x:v>
      </x:c>
      <x:c r="M356" s="20" t="str">
        <x:v>click("19", "left")</x:v>
      </x:c>
      <x:c r="N356" s="6" t="str">
        <x:v>0.0</x:v>
      </x:c>
      <x:c r="O356" s="20" t="str">
        <x:v>file:///root/autodl-tmp/miniwob-plusplus/miniwob/html/miniwob/click-menu.html</x:v>
      </x:c>
      <x:c r="P356" s="20" t="str">
        <x:v>Click Menu Task</x:v>
      </x:c>
      <x:c r="Q356" s="20" t="str">
        <x:v>RootWebArea 'Click Menu Task', focused [17] menu '', clickable, orientation='vertical' image '' [19] menuitem 'Floria', hasPopup='menu' image '' [53] menuitem 'Sarene', hasPopup='menu' image '' [89] menuitem 'Cloe', hasPopup='menu'</x:v>
      </x:c>
      <x:c r="R356" s="20" t="str">
        <x:v>file:///root/autodl-tmp/miniwob-plusplus/miniwob/html/miniwob/click-menu.html</x:v>
      </x:c>
      <x:c r="S356" s="20" t="str">
        <x:v>Click Menu Task</x:v>
      </x:c>
      <x:c r="T356" s="20" t="str">
        <x:v>RootWebArea 'Click Menu Task', focused [17] menu '', clickable, orientation='vertical' image '' [19] menuitem 'Floria', hasPopup='menu' [21] menu '', orientation='vertical' image '' [23] menuitem 'Mora', hasPopup='menu' image '' [33] menuitem 'Ina', hasPopup='menu' image '' [43] menuitem 'Georgeta', hasPopup='menu' image '' [51] menuitem 'Pavla' image '' [53] menuitem 'Sarene', hasPopup='menu' image '' [89] menuitem 'Cloe', hasPopup='menu'</x:v>
      </x:c>
      <x:c r="U356" s="6" t="str">
        <x:v>0</x:v>
      </x:c>
      <x:c r="V356" s="6" t="str">
        <x:v>0</x:v>
      </x:c>
      <x:c r="W356" s="6" t="str">
        <x:v>0</x:v>
      </x:c>
      <x:c r="X356" s="6" t="str">
        <x:v>1</x:v>
      </x:c>
      <x:c r="Y356" s="6" t="str">
        <x:v>0</x:v>
      </x:c>
      <x:c r="Z356" s="6" t="str">
        <x:v>1</x:v>
      </x:c>
      <x:c r="AA356" s="6" t="str">
        <x:v>0.0</x:v>
      </x:c>
      <x:c r="AB356" s="20" t="str">
        <x:v>Codex证据复核v1：原始记录唯一匹配、环境实测、反事实配对ID完整、终止且非成功、奖励非正、队列标签与结果派生规则一致；非人工签字。</x:v>
      </x:c>
    </x:row>
    <x:row r="357" ht="46" customHeight="1">
      <x:c r="A357" s="6" t="str">
        <x:v>1</x:v>
      </x:c>
      <x:c r="B357" s="6" t="str">
        <x:v>f296fd96dd22a9464b0d</x:v>
      </x:c>
      <x:c r="C357" s="6" t="str">
        <x:v>evidence_approved</x:v>
      </x:c>
      <x:c r="D357" s="6" t="str">
        <x:v>codex-evidence-review-v1</x:v>
      </x:c>
      <x:c r="E357" s="22" t="n">
        <x:v>46244.40206471065</x:v>
      </x:c>
      <x:c r="F357" s="6" t="str">
        <x:v>20</x:v>
      </x:c>
      <x:c r="G357" s="20" t="str">
        <x:v>observed_counterfactual;severe_failure;terminal</x:v>
      </x:c>
      <x:c r="H357" s="20" t="str">
        <x:v>browsergym/miniwob.enter-password</x:v>
      </x:c>
      <x:c r="I357" s="6" t="str">
        <x:v>browsergym/miniwob.enter-password</x:v>
      </x:c>
      <x:c r="J357" s="6" t="str">
        <x:v>cf-enter-password-seed1026-hard_wrong_target</x:v>
      </x:c>
      <x:c r="K357" s="6" t="str">
        <x:v>0</x:v>
      </x:c>
      <x:c r="L357" s="20" t="str">
        <x:v>Enter the password "YEAT" into both text fields and press submit.</x:v>
      </x:c>
      <x:c r="M357" s="20" t="str">
        <x:v>click("20", "left")</x:v>
      </x:c>
      <x:c r="N357" s="6" t="str">
        <x:v>0.0</x:v>
      </x:c>
      <x:c r="O357" s="20" t="str">
        <x:v>file:///root/autodl-tmp/miniwob-plusplus/miniwob/html/miniwob/enter-password.html</x:v>
      </x:c>
      <x:c r="P357" s="20" t="str">
        <x:v>Enter Password Task</x:v>
      </x:c>
      <x:c r="Q357" s="20" t="str">
        <x:v>RootWebArea 'Enter Password Task', focused [14] paragraph '' [15] LabelText '' StaticText 'Password' [16] textbox '', clickable [17] paragraph '' [18] LabelText '' StaticText 'Verify password' [19] textbox '', clickable [20] button 'Submit', clickable</x:v>
      </x:c>
      <x:c r="R357" s="20" t="str">
        <x:v>file:///root/autodl-tmp/miniwob-plusplus/miniwob/html/miniwob/enter-password.html</x:v>
      </x:c>
      <x:c r="S357" s="20" t="str">
        <x:v>Enter Password Task</x:v>
      </x:c>
      <x:c r="T357" s="20" t="str">
        <x:v>RootWebArea 'Enter Password Task', focused [14] paragraph '' [15] LabelText '' StaticText 'Password' [16] textbox '', clickable [17] paragraph '' [18] LabelText '' StaticText 'Verify password' [19] textbox '', clickable [20] button 'Submit', clickable, focused</x:v>
      </x:c>
      <x:c r="U357" s="6" t="str">
        <x:v>0</x:v>
      </x:c>
      <x:c r="V357" s="6" t="str">
        <x:v>0</x:v>
      </x:c>
      <x:c r="W357" s="6" t="str">
        <x:v>0</x:v>
      </x:c>
      <x:c r="X357" s="6" t="str">
        <x:v>1</x:v>
      </x:c>
      <x:c r="Y357" s="6" t="str">
        <x:v>0</x:v>
      </x:c>
      <x:c r="Z357" s="6" t="str">
        <x:v>1</x:v>
      </x:c>
      <x:c r="AA357" s="6" t="str">
        <x:v>0.0</x:v>
      </x:c>
      <x:c r="AB357" s="20" t="str">
        <x:v>Codex证据复核v1：原始记录唯一匹配、环境实测、反事实配对ID完整、终止且非成功、奖励非正、队列标签与结果派生规则一致；非人工签字。</x:v>
      </x:c>
    </x:row>
    <x:row r="358" ht="46" customHeight="1">
      <x:c r="A358" s="6" t="str">
        <x:v>1</x:v>
      </x:c>
      <x:c r="B358" s="6" t="str">
        <x:v>7b62c6ddd45e970bcd27</x:v>
      </x:c>
      <x:c r="C358" s="6" t="str">
        <x:v>evidence_approved</x:v>
      </x:c>
      <x:c r="D358" s="6" t="str">
        <x:v>codex-evidence-review-v1</x:v>
      </x:c>
      <x:c r="E358" s="22" t="n">
        <x:v>46244.40206471065</x:v>
      </x:c>
      <x:c r="F358" s="6" t="str">
        <x:v>20</x:v>
      </x:c>
      <x:c r="G358" s="20" t="str">
        <x:v>observed_counterfactual;severe_failure;terminal</x:v>
      </x:c>
      <x:c r="H358" s="20" t="str">
        <x:v>browsergym/miniwob.click-menu</x:v>
      </x:c>
      <x:c r="I358" s="6" t="str">
        <x:v>browsergym/miniwob.click-menu</x:v>
      </x:c>
      <x:c r="J358" s="6" t="str">
        <x:v>cf-click-menu-seed1001-wrong_action_type</x:v>
      </x:c>
      <x:c r="K358" s="6" t="str">
        <x:v>0</x:v>
      </x:c>
      <x:c r="L358" s="20" t="str">
        <x:v>Select Hanna&gt;Claire&gt;Julee</x:v>
      </x:c>
      <x:c r="M358" s="20" t="str">
        <x:v>click("19", "left")</x:v>
      </x:c>
      <x:c r="N358" s="6" t="str">
        <x:v>0.0</x:v>
      </x:c>
      <x:c r="O358" s="20" t="str">
        <x:v>file:///root/autodl-tmp/miniwob-plusplus/miniwob/html/miniwob/click-menu.html</x:v>
      </x:c>
      <x:c r="P358" s="20" t="str">
        <x:v>Click Menu Task</x:v>
      </x:c>
      <x:c r="Q358" s="20" t="str">
        <x:v>RootWebArea 'Click Menu Task', focused [17] menu '', clickable, orientation='vertical' image '' [19] menuitem 'Hanna', hasPopup='menu' image '' [43] menuitem 'Delores'</x:v>
      </x:c>
      <x:c r="R358" s="20" t="str">
        <x:v>file:///root/autodl-tmp/miniwob-plusplus/miniwob/html/miniwob/click-menu.html</x:v>
      </x:c>
      <x:c r="S358" s="20" t="str">
        <x:v>Click Menu Task</x:v>
      </x:c>
      <x:c r="T358" s="20" t="str">
        <x:v>RootWebArea 'Click Menu Task', focused [17] menu '', clickable, orientation='vertical' image '' [19] menuitem 'Hanna', hasPopup='menu' [21] menu '', orientation='vertical' image '' [23] menuitem 'Justine', hasPopup='menu' image '' [31] menuitem 'Fred' image '' [33] menuitem 'Claire', hasPopup='menu' image '' [41] menuitem 'Kath' image '' [43] menuitem 'Delores'</x:v>
      </x:c>
      <x:c r="U358" s="6" t="str">
        <x:v>0</x:v>
      </x:c>
      <x:c r="V358" s="6" t="str">
        <x:v>0</x:v>
      </x:c>
      <x:c r="W358" s="6" t="str">
        <x:v>0</x:v>
      </x:c>
      <x:c r="X358" s="6" t="str">
        <x:v>1</x:v>
      </x:c>
      <x:c r="Y358" s="6" t="str">
        <x:v>0</x:v>
      </x:c>
      <x:c r="Z358" s="6" t="str">
        <x:v>1</x:v>
      </x:c>
      <x:c r="AA358" s="6" t="str">
        <x:v>0.0</x:v>
      </x:c>
      <x:c r="AB358" s="20" t="str">
        <x:v>Codex证据复核v1：原始记录唯一匹配、环境实测、反事实配对ID完整、终止且非成功、奖励非正、队列标签与结果派生规则一致；非人工签字。</x:v>
      </x:c>
    </x:row>
    <x:row r="359" ht="46" customHeight="1">
      <x:c r="A359" s="6" t="str">
        <x:v>1</x:v>
      </x:c>
      <x:c r="B359" s="6" t="str">
        <x:v>349e1cfca7ba740925f8</x:v>
      </x:c>
      <x:c r="C359" s="6" t="str">
        <x:v>evidence_approved</x:v>
      </x:c>
      <x:c r="D359" s="6" t="str">
        <x:v>codex-evidence-review-v1</x:v>
      </x:c>
      <x:c r="E359" s="22" t="n">
        <x:v>46244.40206471065</x:v>
      </x:c>
      <x:c r="F359" s="6" t="str">
        <x:v>20</x:v>
      </x:c>
      <x:c r="G359" s="20" t="str">
        <x:v>observed_counterfactual;severe_failure;terminal</x:v>
      </x:c>
      <x:c r="H359" s="20" t="str">
        <x:v>browsergym/miniwob.click-widget</x:v>
      </x:c>
      <x:c r="I359" s="6" t="str">
        <x:v>browsergym/miniwob.click-widget</x:v>
      </x:c>
      <x:c r="J359" s="6" t="str">
        <x:v>cf-click-widget-seed1002-hard_wrong_target</x:v>
      </x:c>
      <x:c r="K359" s="6" t="str">
        <x:v>0</x:v>
      </x:c>
      <x:c r="L359" s="20" t="str">
        <x:v>Click on a "radio" widget.</x:v>
      </x:c>
      <x:c r="M359" s="20" t="str">
        <x:v>click("24", "left")</x:v>
      </x:c>
      <x:c r="N359" s="6" t="str">
        <x:v>0.0</x:v>
      </x:c>
      <x:c r="O359" s="20" t="str">
        <x:v>file:///root/autodl-tmp/miniwob-plusplus/miniwob/html/miniwob/click-widget.html</x:v>
      </x:c>
      <x:c r="P359" s="20" t="str">
        <x:v>Click Widget Task</x:v>
      </x:c>
      <x:c r="Q359" s="20" t="str">
        <x:v>RootWebArea 'Click Widget Task', focused [14] textbox '' value='yn' StaticText 'yn' [16] textbox '' value='QPi5' StaticText 'QPi5' [18] LabelText '', clickable [19] radio 'l0tz', clickable, checked='false' StaticText 'l0tz' [21] LabelText '', clickable [22] radio 'HT', clickable, checked='false' StaticText 'HT' [24] button 'R'</x:v>
      </x:c>
      <x:c r="R359" s="20" t="str">
        <x:v>file:///root/autodl-tmp/miniwob-plusplus/miniwob/html/miniwob/click-widget.html</x:v>
      </x:c>
      <x:c r="S359" s="20" t="str">
        <x:v>Click Widget Task</x:v>
      </x:c>
      <x:c r="T359" s="20" t="str">
        <x:v>RootWebArea 'Click Widget Task', focused [14] textbox '' value='yn' StaticText 'yn' [16] textbox '' value='QPi5' StaticText 'QPi5' [18] LabelText '', clickable [19] radio 'l0tz', clickable, checked='false' StaticText 'l0tz' [21] LabelText '', clickable [22] radio 'HT', clickable, checked='false' StaticText 'HT' [24] button 'R', focused</x:v>
      </x:c>
      <x:c r="U359" s="6" t="str">
        <x:v>0</x:v>
      </x:c>
      <x:c r="V359" s="6" t="str">
        <x:v>0</x:v>
      </x:c>
      <x:c r="W359" s="6" t="str">
        <x:v>0</x:v>
      </x:c>
      <x:c r="X359" s="6" t="str">
        <x:v>1</x:v>
      </x:c>
      <x:c r="Y359" s="6" t="str">
        <x:v>0</x:v>
      </x:c>
      <x:c r="Z359" s="6" t="str">
        <x:v>1</x:v>
      </x:c>
      <x:c r="AA359" s="6" t="str">
        <x:v>0.0</x:v>
      </x:c>
      <x:c r="AB359" s="20" t="str">
        <x:v>Codex证据复核v1：原始记录唯一匹配、环境实测、反事实配对ID完整、终止且非成功、奖励非正、队列标签与结果派生规则一致；非人工签字。</x:v>
      </x:c>
    </x:row>
    <x:row r="360" ht="46" customHeight="1">
      <x:c r="A360" s="6" t="str">
        <x:v>1</x:v>
      </x:c>
      <x:c r="B360" s="6" t="str">
        <x:v>0b75cefd40a75f775c4a</x:v>
      </x:c>
      <x:c r="C360" s="6" t="str">
        <x:v>evidence_approved</x:v>
      </x:c>
      <x:c r="D360" s="6" t="str">
        <x:v>codex-evidence-review-v1</x:v>
      </x:c>
      <x:c r="E360" s="22" t="n">
        <x:v>46244.40206471065</x:v>
      </x:c>
      <x:c r="F360" s="6" t="str">
        <x:v>20</x:v>
      </x:c>
      <x:c r="G360" s="20" t="str">
        <x:v>observed_counterfactual;severe_failure;terminal</x:v>
      </x:c>
      <x:c r="H360" s="20" t="str">
        <x:v>browsergym/miniwob.click-dialog-2</x:v>
      </x:c>
      <x:c r="I360" s="6" t="str">
        <x:v>browsergym/miniwob.click-dialog-2</x:v>
      </x:c>
      <x:c r="J360" s="6" t="str">
        <x:v>cf-click-dialog-2-seed1002-hard_wrong_target</x:v>
      </x:c>
      <x:c r="K360" s="6" t="str">
        <x:v>0</x:v>
      </x:c>
      <x:c r="L360" s="20" t="str">
        <x:v>Click the button in the dialog box labeled "x".</x:v>
      </x:c>
      <x:c r="M360" s="20" t="str">
        <x:v>click("28", "left")</x:v>
      </x:c>
      <x:c r="N360" s="6" t="str">
        <x:v>0.0</x:v>
      </x:c>
      <x:c r="O360" s="20" t="str">
        <x:v>file:///root/autodl-tmp/miniwob-plusplus/miniwob/html/miniwob/click-dialog-2.html</x:v>
      </x:c>
      <x:c r="P360" s="20" t="str">
        <x:v>Click Dialog Task</x:v>
      </x:c>
      <x:c r="Q360" s="20" t="str">
        <x:v>RootWebArea 'Click Dialog Task', focused [17] dialog '', clickable, modal=False, describedby='dialog' StaticText '' [20] button 'Close', clickable [24] paragraph '' StaticText 'In. Vel convallis ligula. Faucibus. Ornare.' [27] button 'Cancel', clickable, focused [28] button 'OK', clickable</x:v>
      </x:c>
      <x:c r="R360" s="20" t="str">
        <x:v>file:///root/autodl-tmp/miniwob-plusplus/miniwob/html/miniwob/click-dialog-2.html</x:v>
      </x:c>
      <x:c r="S360" s="20" t="str">
        <x:v>Click Dialog Task</x:v>
      </x:c>
      <x:c r="T360" s="20" t="str">
        <x:v>RootWebArea 'Click Dialog Task', focused [17] dialog '', clickable, modal=False, describedby='dialog' StaticText '' [20] button 'Close', clickable [24] paragraph '' StaticText 'In. Vel convallis ligula. Faucibus. Ornare.' [27] button 'Cancel', clickable [28] button 'OK', clickable, focused</x:v>
      </x:c>
      <x:c r="U360" s="6" t="str">
        <x:v>0</x:v>
      </x:c>
      <x:c r="V360" s="6" t="str">
        <x:v>0</x:v>
      </x:c>
      <x:c r="W360" s="6" t="str">
        <x:v>0</x:v>
      </x:c>
      <x:c r="X360" s="6" t="str">
        <x:v>1</x:v>
      </x:c>
      <x:c r="Y360" s="6" t="str">
        <x:v>0</x:v>
      </x:c>
      <x:c r="Z360" s="6" t="str">
        <x:v>1</x:v>
      </x:c>
      <x:c r="AA360" s="6" t="str">
        <x:v>0.0</x:v>
      </x:c>
      <x:c r="AB360" s="20" t="str">
        <x:v>Codex证据复核v1：原始记录唯一匹配、环境实测、反事实配对ID完整、终止且非成功、奖励非正、队列标签与结果派生规则一致；非人工签字。</x:v>
      </x:c>
    </x:row>
    <x:row r="361" ht="46" customHeight="1">
      <x:c r="A361" s="6" t="str">
        <x:v>1</x:v>
      </x:c>
      <x:c r="B361" s="6" t="str">
        <x:v>4d198009be48b7544013</x:v>
      </x:c>
      <x:c r="C361" s="6" t="str">
        <x:v>evidence_approved</x:v>
      </x:c>
      <x:c r="D361" s="6" t="str">
        <x:v>codex-evidence-review-v1</x:v>
      </x:c>
      <x:c r="E361" s="22" t="n">
        <x:v>46244.40206471065</x:v>
      </x:c>
      <x:c r="F361" s="6" t="str">
        <x:v>20</x:v>
      </x:c>
      <x:c r="G361" s="20" t="str">
        <x:v>observed_counterfactual;severe_failure;terminal</x:v>
      </x:c>
      <x:c r="H361" s="20" t="str">
        <x:v>browsergym/miniwob.click-menu</x:v>
      </x:c>
      <x:c r="I361" s="6" t="str">
        <x:v>browsergym/miniwob.click-menu</x:v>
      </x:c>
      <x:c r="J361" s="6" t="str">
        <x:v>cf-click-menu-seed1031-hard_wrong_target</x:v>
      </x:c>
      <x:c r="K361" s="6" t="str">
        <x:v>0</x:v>
      </x:c>
      <x:c r="L361" s="20" t="str">
        <x:v>Select Arlie&gt;Adelina</x:v>
      </x:c>
      <x:c r="M361" s="20" t="str">
        <x:v>click("19", "left")</x:v>
      </x:c>
      <x:c r="N361" s="6" t="str">
        <x:v>0.0</x:v>
      </x:c>
      <x:c r="O361" s="20" t="str">
        <x:v>file:///root/autodl-tmp/miniwob-plusplus/miniwob/html/miniwob/click-menu.html</x:v>
      </x:c>
      <x:c r="P361" s="20" t="str">
        <x:v>Click Menu Task</x:v>
      </x:c>
      <x:c r="Q361" s="20" t="str">
        <x:v>RootWebArea 'Click Menu Task', focused [17] menu '', clickable, orientation='vertical' image '' [19] menuitem 'Arlie', hasPopup='menu' image '' [37] menuitem 'Betti', hasPopup='menu' image '' [63] menuitem 'Merrielle', hasPopup='menu' image '' [73] menuitem 'Genny', hasPopup='menu'</x:v>
      </x:c>
      <x:c r="R361" s="20" t="str">
        <x:v>file:///root/autodl-tmp/miniwob-plusplus/miniwob/html/miniwob/click-menu.html</x:v>
      </x:c>
      <x:c r="S361" s="20" t="str">
        <x:v>Click Menu Task</x:v>
      </x:c>
      <x:c r="T361" s="20" t="str">
        <x:v>RootWebArea 'Click Menu Task', focused [17] menu '', clickable, orientation='vertical' image '' [19] menuitem 'Arlie', hasPopup='menu' [21] menu '', orientation='vertical' image '' [23] menuitem 'Adelina' image '' [25] menuitem 'Wilie', hasPopup='menu' image '' [35] menuitem 'Dominga' image '' [37] menuitem 'Betti', hasPopup='menu' image '' [63] menuitem 'Merrielle', hasPopup='menu' image '' [73] menuitem 'Genny', hasPopup='menu'</x:v>
      </x:c>
      <x:c r="U361" s="6" t="str">
        <x:v>0</x:v>
      </x:c>
      <x:c r="V361" s="6" t="str">
        <x:v>0</x:v>
      </x:c>
      <x:c r="W361" s="6" t="str">
        <x:v>0</x:v>
      </x:c>
      <x:c r="X361" s="6" t="str">
        <x:v>1</x:v>
      </x:c>
      <x:c r="Y361" s="6" t="str">
        <x:v>0</x:v>
      </x:c>
      <x:c r="Z361" s="6" t="str">
        <x:v>1</x:v>
      </x:c>
      <x:c r="AA361" s="6" t="str">
        <x:v>0.0</x:v>
      </x:c>
      <x:c r="AB361" s="20" t="str">
        <x:v>Codex证据复核v1：原始记录唯一匹配、环境实测、反事实配对ID完整、终止且非成功、奖励非正、队列标签与结果派生规则一致；非人工签字。</x:v>
      </x:c>
    </x:row>
    <x:row r="362" ht="46" customHeight="1">
      <x:c r="A362" s="6" t="str">
        <x:v>1</x:v>
      </x:c>
      <x:c r="B362" s="6" t="str">
        <x:v>13dd5ccff7abc0e3d65d</x:v>
      </x:c>
      <x:c r="C362" s="6" t="str">
        <x:v>evidence_approved</x:v>
      </x:c>
      <x:c r="D362" s="6" t="str">
        <x:v>codex-evidence-review-v1</x:v>
      </x:c>
      <x:c r="E362" s="22" t="n">
        <x:v>46244.40206471065</x:v>
      </x:c>
      <x:c r="F362" s="6" t="str">
        <x:v>20</x:v>
      </x:c>
      <x:c r="G362" s="20" t="str">
        <x:v>observed_counterfactual;severe_failure;terminal</x:v>
      </x:c>
      <x:c r="H362" s="20" t="str">
        <x:v>browsergym/miniwob.enter-text-dynamic</x:v>
      </x:c>
      <x:c r="I362" s="6" t="str">
        <x:v>browsergym/miniwob.enter-text-dynamic</x:v>
      </x:c>
      <x:c r="J362" s="6" t="str">
        <x:v>cf-enter-text-dynamic-seed1009-hard_wrong_target</x:v>
      </x:c>
      <x:c r="K362" s="6" t="str">
        <x:v>0</x:v>
      </x:c>
      <x:c r="L362" s="20" t="str">
        <x:v>Enter "ufA7" into the text field and press Submit.</x:v>
      </x:c>
      <x:c r="M362" s="20" t="str">
        <x:v>click("15", "left")</x:v>
      </x:c>
      <x:c r="N362" s="6" t="str">
        <x:v>0.0</x:v>
      </x:c>
      <x:c r="O362" s="20" t="str">
        <x:v>file:///root/autodl-tmp/miniwob-plusplus/miniwob/html/miniwob/enter-text-dynamic.html</x:v>
      </x:c>
      <x:c r="P362" s="20" t="str">
        <x:v>Enter Dynamic Text Task</x:v>
      </x:c>
      <x:c r="Q362" s="20" t="str">
        <x:v>RootWebArea 'Enter Dynamic Text Task', focused [14] textbox '', clickable [15] button 'Submit', clickable</x:v>
      </x:c>
      <x:c r="R362" s="20" t="str">
        <x:v>file:///root/autodl-tmp/miniwob-plusplus/miniwob/html/miniwob/enter-text-dynamic.html</x:v>
      </x:c>
      <x:c r="S362" s="20" t="str">
        <x:v>Enter Dynamic Text Task</x:v>
      </x:c>
      <x:c r="T362" s="20" t="str">
        <x:v>RootWebArea 'Enter Dynamic Text Task', focused [14] textbox '', clickable [15] button 'Submit', clickable, focused</x:v>
      </x:c>
      <x:c r="U362" s="6" t="str">
        <x:v>0</x:v>
      </x:c>
      <x:c r="V362" s="6" t="str">
        <x:v>0</x:v>
      </x:c>
      <x:c r="W362" s="6" t="str">
        <x:v>0</x:v>
      </x:c>
      <x:c r="X362" s="6" t="str">
        <x:v>1</x:v>
      </x:c>
      <x:c r="Y362" s="6" t="str">
        <x:v>0</x:v>
      </x:c>
      <x:c r="Z362" s="6" t="str">
        <x:v>1</x:v>
      </x:c>
      <x:c r="AA362" s="6" t="str">
        <x:v>0.0</x:v>
      </x:c>
      <x:c r="AB362" s="20" t="str">
        <x:v>Codex证据复核v1：原始记录唯一匹配、环境实测、反事实配对ID完整、终止且非成功、奖励非正、队列标签与结果派生规则一致；非人工签字。</x:v>
      </x:c>
    </x:row>
    <x:row r="363" ht="46" customHeight="1">
      <x:c r="A363" s="6" t="str">
        <x:v>1</x:v>
      </x:c>
      <x:c r="B363" s="6" t="str">
        <x:v>de3e493cf97826f26490</x:v>
      </x:c>
      <x:c r="C363" s="6" t="str">
        <x:v>evidence_approved</x:v>
      </x:c>
      <x:c r="D363" s="6" t="str">
        <x:v>codex-evidence-review-v1</x:v>
      </x:c>
      <x:c r="E363" s="22" t="n">
        <x:v>46244.40206471065</x:v>
      </x:c>
      <x:c r="F363" s="6" t="str">
        <x:v>20</x:v>
      </x:c>
      <x:c r="G363" s="20" t="str">
        <x:v>observed_counterfactual;severe_failure;terminal</x:v>
      </x:c>
      <x:c r="H363" s="20" t="str">
        <x:v>browsergym/miniwob.click-dialog-2</x:v>
      </x:c>
      <x:c r="I363" s="6" t="str">
        <x:v>browsergym/miniwob.click-dialog-2</x:v>
      </x:c>
      <x:c r="J363" s="6" t="str">
        <x:v>cf-click-dialog-2-seed1015-hard_wrong_target</x:v>
      </x:c>
      <x:c r="K363" s="6" t="str">
        <x:v>0</x:v>
      </x:c>
      <x:c r="L363" s="20" t="str">
        <x:v>Click the button in the dialog box labeled "Cancel".</x:v>
      </x:c>
      <x:c r="M363" s="20" t="str">
        <x:v>click("28", "left")</x:v>
      </x:c>
      <x:c r="N363" s="6" t="str">
        <x:v>0.0</x:v>
      </x:c>
      <x:c r="O363" s="20" t="str">
        <x:v>file:///root/autodl-tmp/miniwob-plusplus/miniwob/html/miniwob/click-dialog-2.html</x:v>
      </x:c>
      <x:c r="P363" s="20" t="str">
        <x:v>Click Dialog Task</x:v>
      </x:c>
      <x:c r="Q363" s="20" t="str">
        <x:v>RootWebArea 'Click Dialog Task', focused [17] dialog '', clickable, modal=False, describedby='dialog' StaticText '' [20] button 'Close', clickable [24] paragraph '' StaticText 'Tellus. Rhoncus felis. Nullam tristique.' [27] button 'Cancel', clickable, focused [28] button 'OK', clickable</x:v>
      </x:c>
      <x:c r="R363" s="20" t="str">
        <x:v>file:///root/autodl-tmp/miniwob-plusplus/miniwob/html/miniwob/click-dialog-2.html</x:v>
      </x:c>
      <x:c r="S363" s="20" t="str">
        <x:v>Click Dialog Task</x:v>
      </x:c>
      <x:c r="T363" s="20" t="str">
        <x:v>RootWebArea 'Click Dialog Task', focused [17] dialog '', clickable, modal=False, describedby='dialog' StaticText '' [20] button 'Close', clickable [24] paragraph '' StaticText 'Tellus. Rhoncus felis. Nullam tristique.' [27] button 'Cancel', clickable [28] button 'OK', clickable, focused</x:v>
      </x:c>
      <x:c r="U363" s="6" t="str">
        <x:v>0</x:v>
      </x:c>
      <x:c r="V363" s="6" t="str">
        <x:v>0</x:v>
      </x:c>
      <x:c r="W363" s="6" t="str">
        <x:v>0</x:v>
      </x:c>
      <x:c r="X363" s="6" t="str">
        <x:v>1</x:v>
      </x:c>
      <x:c r="Y363" s="6" t="str">
        <x:v>0</x:v>
      </x:c>
      <x:c r="Z363" s="6" t="str">
        <x:v>1</x:v>
      </x:c>
      <x:c r="AA363" s="6" t="str">
        <x:v>0.0</x:v>
      </x:c>
      <x:c r="AB363" s="20" t="str">
        <x:v>Codex证据复核v1：原始记录唯一匹配、环境实测、反事实配对ID完整、终止且非成功、奖励非正、队列标签与结果派生规则一致；非人工签字。</x:v>
      </x:c>
    </x:row>
    <x:row r="364" ht="46" customHeight="1">
      <x:c r="A364" s="6" t="str">
        <x:v>1</x:v>
      </x:c>
      <x:c r="B364" s="6" t="str">
        <x:v>8c3707ae7e17aa6b643b</x:v>
      </x:c>
      <x:c r="C364" s="6" t="str">
        <x:v>evidence_approved</x:v>
      </x:c>
      <x:c r="D364" s="6" t="str">
        <x:v>codex-evidence-review-v1</x:v>
      </x:c>
      <x:c r="E364" s="22" t="n">
        <x:v>46244.40206471065</x:v>
      </x:c>
      <x:c r="F364" s="6" t="str">
        <x:v>20</x:v>
      </x:c>
      <x:c r="G364" s="20" t="str">
        <x:v>observed_counterfactual;severe_failure;terminal</x:v>
      </x:c>
      <x:c r="H364" s="20" t="str">
        <x:v>browsergym/miniwob.choose-list</x:v>
      </x:c>
      <x:c r="I364" s="6" t="str">
        <x:v>browsergym/miniwob.choose-list</x:v>
      </x:c>
      <x:c r="J364" s="6" t="str">
        <x:v>cf-choose-list-seed1008-wrong_action_type</x:v>
      </x:c>
      <x:c r="K364" s="6" t="str">
        <x:v>0</x:v>
      </x:c>
      <x:c r="L364" s="20" t="str">
        <x:v>Select Kiribati from the list and click Submit.</x:v>
      </x:c>
      <x:c r="M364" s="20" t="str">
        <x:v>click("22", "left")</x:v>
      </x:c>
      <x:c r="N364" s="6" t="str">
        <x:v>0.0</x:v>
      </x:c>
      <x:c r="O364" s="20" t="str">
        <x:v>file:///root/autodl-tmp/miniwob-plusplus/miniwob/html/miniwob/choose-list.html</x:v>
      </x:c>
      <x:c r="P364" s="20" t="str">
        <x:v>Choose List Task</x:v>
      </x:c>
      <x:c r="Q364" s="20" t="str">
        <x:v>RootWebArea 'Choose List Task', focused [13] combobox '' value='Morocco', hasPopup='menu', expanded=False [22] button 'Submit', clickable</x:v>
      </x:c>
      <x:c r="R364" s="20" t="str">
        <x:v>file:///root/autodl-tmp/miniwob-plusplus/miniwob/html/miniwob/choose-list.html</x:v>
      </x:c>
      <x:c r="S364" s="20" t="str">
        <x:v>Choose List Task</x:v>
      </x:c>
      <x:c r="T364" s="20" t="str">
        <x:v>RootWebArea 'Choose List Task', focused [13] combobox '' value='Morocco', hasPopup='menu', expanded=False [22] button 'Submit', clickable, focused</x:v>
      </x:c>
      <x:c r="U364" s="6" t="str">
        <x:v>0</x:v>
      </x:c>
      <x:c r="V364" s="6" t="str">
        <x:v>0</x:v>
      </x:c>
      <x:c r="W364" s="6" t="str">
        <x:v>0</x:v>
      </x:c>
      <x:c r="X364" s="6" t="str">
        <x:v>1</x:v>
      </x:c>
      <x:c r="Y364" s="6" t="str">
        <x:v>0</x:v>
      </x:c>
      <x:c r="Z364" s="6" t="str">
        <x:v>1</x:v>
      </x:c>
      <x:c r="AA364" s="6" t="str">
        <x:v>0.0</x:v>
      </x:c>
      <x:c r="AB364" s="20" t="str">
        <x:v>Codex证据复核v1：原始记录唯一匹配、环境实测、反事实配对ID完整、终止且非成功、奖励非正、队列标签与结果派生规则一致；非人工签字。</x:v>
      </x:c>
    </x:row>
    <x:row r="365" ht="46" customHeight="1">
      <x:c r="A365" s="6" t="str">
        <x:v>1</x:v>
      </x:c>
      <x:c r="B365" s="6" t="str">
        <x:v>000b9f40079f24cb5ffc</x:v>
      </x:c>
      <x:c r="C365" s="6" t="str">
        <x:v>evidence_approved</x:v>
      </x:c>
      <x:c r="D365" s="6" t="str">
        <x:v>codex-evidence-review-v1</x:v>
      </x:c>
      <x:c r="E365" s="22" t="n">
        <x:v>46244.40206471065</x:v>
      </x:c>
      <x:c r="F365" s="6" t="str">
        <x:v>20</x:v>
      </x:c>
      <x:c r="G365" s="20" t="str">
        <x:v>observed_counterfactual;severe_failure;terminal</x:v>
      </x:c>
      <x:c r="H365" s="20" t="str">
        <x:v>browsergym/miniwob.click-dialog-2</x:v>
      </x:c>
      <x:c r="I365" s="6" t="str">
        <x:v>browsergym/miniwob.click-dialog-2</x:v>
      </x:c>
      <x:c r="J365" s="6" t="str">
        <x:v>cf-click-dialog-2-seed1035-hard_wrong_target</x:v>
      </x:c>
      <x:c r="K365" s="6" t="str">
        <x:v>0</x:v>
      </x:c>
      <x:c r="L365" s="20" t="str">
        <x:v>Click the button in the dialog box labeled "x".</x:v>
      </x:c>
      <x:c r="M365" s="20" t="str">
        <x:v>click("28", "left")</x:v>
      </x:c>
      <x:c r="N365" s="6" t="str">
        <x:v>0.0</x:v>
      </x:c>
      <x:c r="O365" s="20" t="str">
        <x:v>file:///root/autodl-tmp/miniwob-plusplus/miniwob/html/miniwob/click-dialog-2.html</x:v>
      </x:c>
      <x:c r="P365" s="20" t="str">
        <x:v>Click Dialog Task</x:v>
      </x:c>
      <x:c r="Q365" s="20" t="str">
        <x:v>RootWebArea 'Click Dialog Task', focused [17] dialog '', clickable, modal=False, describedby='dialog' StaticText '' [20] button 'Close', clickable [24] paragraph '' StaticText 'Mollis fringilla purus maecenas. Lacus nibh.' [27] button 'Cancel', clickable, focused [28] button 'OK', clickable</x:v>
      </x:c>
      <x:c r="R365" s="20" t="str">
        <x:v>file:///root/autodl-tmp/miniwob-plusplus/miniwob/html/miniwob/click-dialog-2.html</x:v>
      </x:c>
      <x:c r="S365" s="20" t="str">
        <x:v>Click Dialog Task</x:v>
      </x:c>
      <x:c r="T365" s="20" t="str">
        <x:v>RootWebArea 'Click Dialog Task', focused [17] dialog '', clickable, modal=False, describedby='dialog' StaticText '' [20] button 'Close', clickable [24] paragraph '' StaticText 'Mollis fringilla purus maecenas. Lacus nibh.' [27] button 'Cancel', clickable [28] button 'OK', clickable, focused</x:v>
      </x:c>
      <x:c r="U365" s="6" t="str">
        <x:v>0</x:v>
      </x:c>
      <x:c r="V365" s="6" t="str">
        <x:v>0</x:v>
      </x:c>
      <x:c r="W365" s="6" t="str">
        <x:v>0</x:v>
      </x:c>
      <x:c r="X365" s="6" t="str">
        <x:v>1</x:v>
      </x:c>
      <x:c r="Y365" s="6" t="str">
        <x:v>0</x:v>
      </x:c>
      <x:c r="Z365" s="6" t="str">
        <x:v>1</x:v>
      </x:c>
      <x:c r="AA365" s="6" t="str">
        <x:v>0.0</x:v>
      </x:c>
      <x:c r="AB365" s="20" t="str">
        <x:v>Codex证据复核v1：原始记录唯一匹配、环境实测、反事实配对ID完整、终止且非成功、奖励非正、队列标签与结果派生规则一致；非人工签字。</x:v>
      </x:c>
    </x:row>
    <x:row r="366" ht="46" customHeight="1">
      <x:c r="A366" s="6" t="str">
        <x:v>1</x:v>
      </x:c>
      <x:c r="B366" s="6" t="str">
        <x:v>c898bcedd23fad6aa869</x:v>
      </x:c>
      <x:c r="C366" s="6" t="str">
        <x:v>evidence_approved</x:v>
      </x:c>
      <x:c r="D366" s="6" t="str">
        <x:v>codex-evidence-review-v1</x:v>
      </x:c>
      <x:c r="E366" s="22" t="n">
        <x:v>46244.40206471065</x:v>
      </x:c>
      <x:c r="F366" s="6" t="str">
        <x:v>20</x:v>
      </x:c>
      <x:c r="G366" s="20" t="str">
        <x:v>observed_counterfactual;severe_failure;terminal</x:v>
      </x:c>
      <x:c r="H366" s="20" t="str">
        <x:v>browsergym/miniwob.sign-agreement</x:v>
      </x:c>
      <x:c r="I366" s="6" t="str">
        <x:v>browsergym/miniwob.sign-agreement</x:v>
      </x:c>
      <x:c r="J366" s="6" t="str">
        <x:v>cf-sign-agreement-seed1022-hard_wrong_target</x:v>
      </x:c>
      <x:c r="K366" s="6" t="str">
        <x:v>0</x:v>
      </x:c>
      <x:c r="L366" s="20" t="str">
        <x:v>Scroll to the bottom of the textarea, enter the name "Briana" then press "Agree"</x:v>
      </x:c>
      <x:c r="M366" s="20" t="str">
        <x:v>click("17", "left")</x:v>
      </x:c>
      <x:c r="N366" s="6" t="str">
        <x:v>0.0</x:v>
      </x:c>
      <x:c r="O366" s="20" t="str">
        <x:v>file:///root/autodl-tmp/miniwob-plusplus/miniwob/html/miniwob/sign-agreement.html</x:v>
      </x:c>
      <x:c r="P366" s="20" t="str">
        <x:v>Sign Agreement Task</x:v>
      </x:c>
      <x:c r="Q366" s="20" t="str">
        <x:v>RootWebArea 'Sign Agreement Task', focused [14] heading 'User agreement' [15] textbox '' value='Molestie sed eleifend euismod tempus integer venenatis, eu scelerisque. Suscipit varius arcu ac aliquam, commodo pharetra massa vestibulum dolor ac mattis. Pharetra suspendisse ridiculus amet. Sed in purus mi massa faucibus phasellus lacus, lectus augue eget ultrices. Sed. Duis eget lectus nulla nibh magna. Volutpat dui magna velit justo ac posuere sollicitudin a tincidunt. Ornare nibh rhoncus, sagittis purus. At. Lacus lectus mattis ac consectetur mi. At. Ligula ornare eget lectus adipiscing a placerat sit interdum. Ultrices massa. Dignissim. Hac nec magna malesuada … StaticText 'Molestie sed eleifend euismod tempus integer venenatis, eu scelerisque. Suscipit varius arcu ac aliquam, commodo pharetra massa vestibulum dolor ac mattis. Pharetra suspendisse ridiculus amet. Sed in purus mi massa …</x:v>
      </x:c>
      <x:c r="R366" s="20" t="str">
        <x:v>file:///root/autodl-tmp/miniwob-plusplus/miniwob/html/miniwob/sign-agreement.html</x:v>
      </x:c>
      <x:c r="S366" s="20" t="str">
        <x:v>Sign Agreement Task</x:v>
      </x:c>
      <x:c r="T366" s="20" t="str">
        <x:v>RootWebArea 'Sign Agreement Task', focused [14] heading 'User agreement' [15] textbox '' value='Molestie sed eleifend euismod tempus integer venenatis, eu scelerisque. Suscipit varius arcu ac aliquam, commodo pharetra massa vestibulum dolor ac mattis. Pharetra suspendisse ridiculus amet. Sed in purus mi massa faucibus phasellus lacus, lectus augue eget ultrices. Sed. Duis eget lectus nulla nibh magna. Volutpat dui magna velit justo ac posuere sollicitudin a tincidunt. Ornare nibh rhoncus, sagittis purus. At. Lacus lectus mattis ac consectetur mi. At. Ligula ornare eget lectus adipiscing a placerat sit interdum. Ultrices massa. Dignissim. Hac nec magna malesuada … StaticText 'Molestie sed eleifend euismod tempus integer venenatis, eu scelerisque. Suscipit varius arcu ac aliquam, commodo pharetra massa vestibulum dolor ac mattis. Pharetra suspendisse ridiculus amet. Sed in purus mi massa …</x:v>
      </x:c>
      <x:c r="U366" s="6" t="str">
        <x:v>0</x:v>
      </x:c>
      <x:c r="V366" s="6" t="str">
        <x:v>0</x:v>
      </x:c>
      <x:c r="W366" s="6" t="str">
        <x:v>0</x:v>
      </x:c>
      <x:c r="X366" s="6" t="str">
        <x:v>1</x:v>
      </x:c>
      <x:c r="Y366" s="6" t="str">
        <x:v>0</x:v>
      </x:c>
      <x:c r="Z366" s="6" t="str">
        <x:v>1</x:v>
      </x:c>
      <x:c r="AA366" s="6" t="str">
        <x:v>0.0</x:v>
      </x:c>
      <x:c r="AB366" s="20" t="str">
        <x:v>Codex证据复核v1：原始记录唯一匹配、环境实测、反事实配对ID完整、终止且非成功、奖励非正、队列标签与结果派生规则一致；非人工签字。</x:v>
      </x:c>
    </x:row>
    <x:row r="367" ht="46" customHeight="1">
      <x:c r="A367" s="6" t="str">
        <x:v>1</x:v>
      </x:c>
      <x:c r="B367" s="6" t="str">
        <x:v>c62211d3e112fbe77b91</x:v>
      </x:c>
      <x:c r="C367" s="6" t="str">
        <x:v>evidence_approved</x:v>
      </x:c>
      <x:c r="D367" s="6" t="str">
        <x:v>codex-evidence-review-v1</x:v>
      </x:c>
      <x:c r="E367" s="22" t="n">
        <x:v>46244.40206471065</x:v>
      </x:c>
      <x:c r="F367" s="6" t="str">
        <x:v>20</x:v>
      </x:c>
      <x:c r="G367" s="20" t="str">
        <x:v>observed_counterfactual;severe_failure;terminal</x:v>
      </x:c>
      <x:c r="H367" s="20" t="str">
        <x:v>browsergym/miniwob.click-dialog-2</x:v>
      </x:c>
      <x:c r="I367" s="6" t="str">
        <x:v>browsergym/miniwob.click-dialog-2</x:v>
      </x:c>
      <x:c r="J367" s="6" t="str">
        <x:v>cf-click-dialog-2-seed1026-hard_wrong_target</x:v>
      </x:c>
      <x:c r="K367" s="6" t="str">
        <x:v>0</x:v>
      </x:c>
      <x:c r="L367" s="20" t="str">
        <x:v>Click the button in the dialog box labeled "OK".</x:v>
      </x:c>
      <x:c r="M367" s="20" t="str">
        <x:v>click("20", "left")</x:v>
      </x:c>
      <x:c r="N367" s="6" t="str">
        <x:v>0.0</x:v>
      </x:c>
      <x:c r="O367" s="20" t="str">
        <x:v>file:///root/autodl-tmp/miniwob-plusplus/miniwob/html/miniwob/click-dialog-2.html</x:v>
      </x:c>
      <x:c r="P367" s="20" t="str">
        <x:v>Click Dialog Task</x:v>
      </x:c>
      <x:c r="Q367" s="20" t="str">
        <x:v>RootWebArea 'Click Dialog Task', focused [17] dialog '', clickable, modal=False, describedby='dialog' StaticText '' [20] button 'Close', clickable [24] paragraph '' StaticText 'Mi consequat quisque et,. Amet,. Eros.' [27] button 'Cancel', clickable, focused [28] button 'OK', clickable</x:v>
      </x:c>
      <x:c r="R367" s="20" t="str">
        <x:v>file:///root/autodl-tmp/miniwob-plusplus/miniwob/html/miniwob/click-dialog-2.html</x:v>
      </x:c>
      <x:c r="S367" s="20" t="str">
        <x:v>Click Dialog Task</x:v>
      </x:c>
      <x:c r="T367" s="20" t="str">
        <x:v>RootWebArea 'Click Dialog Task', focused</x:v>
      </x:c>
      <x:c r="U367" s="6" t="str">
        <x:v>0</x:v>
      </x:c>
      <x:c r="V367" s="6" t="str">
        <x:v>0</x:v>
      </x:c>
      <x:c r="W367" s="6" t="str">
        <x:v>0</x:v>
      </x:c>
      <x:c r="X367" s="6" t="str">
        <x:v>1</x:v>
      </x:c>
      <x:c r="Y367" s="6" t="str">
        <x:v>0</x:v>
      </x:c>
      <x:c r="Z367" s="6" t="str">
        <x:v>1</x:v>
      </x:c>
      <x:c r="AA367" s="6" t="str">
        <x:v>0.0</x:v>
      </x:c>
      <x:c r="AB367" s="20" t="str">
        <x:v>Codex证据复核v1：原始记录唯一匹配、环境实测、反事实配对ID完整、终止且非成功、奖励非正、队列标签与结果派生规则一致；非人工签字。</x:v>
      </x:c>
    </x:row>
    <x:row r="368" ht="46" customHeight="1">
      <x:c r="A368" s="6" t="str">
        <x:v>1</x:v>
      </x:c>
      <x:c r="B368" s="6" t="str">
        <x:v>2c038ad2715a9347d946</x:v>
      </x:c>
      <x:c r="C368" s="6" t="str">
        <x:v>evidence_approved</x:v>
      </x:c>
      <x:c r="D368" s="6" t="str">
        <x:v>codex-evidence-review-v1</x:v>
      </x:c>
      <x:c r="E368" s="22" t="n">
        <x:v>46244.40206471065</x:v>
      </x:c>
      <x:c r="F368" s="6" t="str">
        <x:v>20</x:v>
      </x:c>
      <x:c r="G368" s="20" t="str">
        <x:v>observed_counterfactual;severe_failure;terminal</x:v>
      </x:c>
      <x:c r="H368" s="20" t="str">
        <x:v>browsergym/miniwob.login-user</x:v>
      </x:c>
      <x:c r="I368" s="6" t="str">
        <x:v>browsergym/miniwob.login-user</x:v>
      </x:c>
      <x:c r="J368" s="6" t="str">
        <x:v>cf-login-user-seed1007-hard_wrong_target</x:v>
      </x:c>
      <x:c r="K368" s="6" t="str">
        <x:v>0</x:v>
      </x:c>
      <x:c r="L368" s="20" t="str">
        <x:v>Enter the username "teodoro" and the password "jr" into the text fields and press login.</x:v>
      </x:c>
      <x:c r="M368" s="20" t="str">
        <x:v>click("20", "left")</x:v>
      </x:c>
      <x:c r="N368" s="6" t="str">
        <x:v>0.0</x:v>
      </x:c>
      <x:c r="O368" s="20" t="str">
        <x:v>file:///root/autodl-tmp/miniwob-plusplus/miniwob/html/miniwob/login-user.html</x:v>
      </x:c>
      <x:c r="P368" s="20" t="str">
        <x:v>Login User Task</x:v>
      </x:c>
      <x:c r="Q368" s="20" t="str">
        <x:v>RootWebArea 'Login User Task', focused [14] paragraph '' [15] LabelText '' StaticText 'Username' [16] textbox '', clickable [17] paragraph '' [18] LabelText '' StaticText 'Password' [19] textbox '', clickable [20] button 'Login', clickable</x:v>
      </x:c>
      <x:c r="R368" s="20" t="str">
        <x:v>file:///root/autodl-tmp/miniwob-plusplus/miniwob/html/miniwob/login-user.html</x:v>
      </x:c>
      <x:c r="S368" s="20" t="str">
        <x:v>Login User Task</x:v>
      </x:c>
      <x:c r="T368" s="20" t="str">
        <x:v>RootWebArea 'Login User Task', focused [14] paragraph '' [15] LabelText '' StaticText 'Username' [16] textbox '', clickable [17] paragraph '' [18] LabelText '' StaticText 'Password' [19] textbox '', clickable [20] button 'Login', clickable, focused</x:v>
      </x:c>
      <x:c r="U368" s="6" t="str">
        <x:v>0</x:v>
      </x:c>
      <x:c r="V368" s="6" t="str">
        <x:v>0</x:v>
      </x:c>
      <x:c r="W368" s="6" t="str">
        <x:v>0</x:v>
      </x:c>
      <x:c r="X368" s="6" t="str">
        <x:v>1</x:v>
      </x:c>
      <x:c r="Y368" s="6" t="str">
        <x:v>0</x:v>
      </x:c>
      <x:c r="Z368" s="6" t="str">
        <x:v>1</x:v>
      </x:c>
      <x:c r="AA368" s="6" t="str">
        <x:v>0.0</x:v>
      </x:c>
      <x:c r="AB368" s="20" t="str">
        <x:v>Codex证据复核v1：原始记录唯一匹配、环境实测、反事实配对ID完整、终止且非成功、奖励非正、队列标签与结果派生规则一致；非人工签字。</x:v>
      </x:c>
    </x:row>
    <x:row r="369" ht="46" customHeight="1">
      <x:c r="A369" s="6" t="str">
        <x:v>1</x:v>
      </x:c>
      <x:c r="B369" s="6" t="str">
        <x:v>c9eecc86edb30f278c2d</x:v>
      </x:c>
      <x:c r="C369" s="6" t="str">
        <x:v>evidence_approved</x:v>
      </x:c>
      <x:c r="D369" s="6" t="str">
        <x:v>codex-evidence-review-v1</x:v>
      </x:c>
      <x:c r="E369" s="22" t="n">
        <x:v>46244.40206471065</x:v>
      </x:c>
      <x:c r="F369" s="6" t="str">
        <x:v>20</x:v>
      </x:c>
      <x:c r="G369" s="20" t="str">
        <x:v>observed_counterfactual;severe_failure;terminal</x:v>
      </x:c>
      <x:c r="H369" s="20" t="str">
        <x:v>browsergym/miniwob.scroll-text-2</x:v>
      </x:c>
      <x:c r="I369" s="6" t="str">
        <x:v>browsergym/miniwob.scroll-text-2</x:v>
      </x:c>
      <x:c r="J369" s="6" t="str">
        <x:v>cf-scroll-text-2-seed1006-hard_wrong_target</x:v>
      </x:c>
      <x:c r="K369" s="6" t="str">
        <x:v>0</x:v>
      </x:c>
      <x:c r="L369" s="20" t="str">
        <x:v>Scroll the textarea to the bottom of the text hit submit.</x:v>
      </x:c>
      <x:c r="M369" s="20" t="str">
        <x:v>click("14", "left")</x:v>
      </x:c>
      <x:c r="N369" s="6" t="str">
        <x:v>0.0</x:v>
      </x:c>
      <x:c r="O369" s="20" t="str">
        <x:v>file:///root/autodl-tmp/miniwob-plusplus/miniwob/html/miniwob/scroll-text-2.html</x:v>
      </x:c>
      <x:c r="P369" s="20" t="str">
        <x:v>Scroll Text Task</x:v>
      </x:c>
      <x:c r="Q369" s="20" t="str">
        <x:v>RootWebArea 'Scroll Text Task', focused [13] textbox '' value='In nunc,. Eget. Sed massa fames. Bibendum faucibus egestas nulla pulvinar. Sem ac suspendisse at at leo tincidunt libero eget integer lorem sit ullamcorper diam. Metus,. Sit neque,. Facilisis in viverra mauris. Amet, dolor sit lacus egestas diam. Quam odio et vel platea sed ut gravida. Nunc turpis. Pulvinar egestas leo a leo vel. Sed cum eget et, neque mi. Enim congue dolor. Turpis. Quisque sit. Cursus pulvinar. Eleifend.' StaticText 'In nunc,. Eget. Sed massa fames. Bibendum faucibus egestas nulla pulvinar. Sem ac suspendisse at at leo tincidunt libero eget integer lorem sit ullamcorper diam. Metus,. Sit neque,. Facilisis in viverra mauris. Amet, dolor sit lacus egestas diam. Quam odio et vel platea sed ut gravida. Nunc turpis. Pulvinar egestas leo a leo vel. Sed cum eget et, neque mi. Enim congue dolor. Turpis. Quisque sit…</x:v>
      </x:c>
      <x:c r="R369" s="20" t="str">
        <x:v>file:///root/autodl-tmp/miniwob-plusplus/miniwob/html/miniwob/scroll-text-2.html</x:v>
      </x:c>
      <x:c r="S369" s="20" t="str">
        <x:v>Scroll Text Task</x:v>
      </x:c>
      <x:c r="T369" s="20" t="str">
        <x:v>RootWebArea 'Scroll Text Task', focused [13] textbox '' value='In nunc,. Eget. Sed massa fames. Bibendum faucibus egestas nulla pulvinar. Sem ac suspendisse at at leo tincidunt libero eget integer lorem sit ullamcorper diam. Metus,. Sit neque,. Facilisis in viverra mauris. Amet, dolor sit lacus egestas diam. Quam odio et vel platea sed ut gravida. Nunc turpis. Pulvinar egestas leo a leo vel. Sed cum eget et, neque mi. Enim congue dolor. Turpis. Quisque sit. Cursus pulvinar. Eleifend.' StaticText 'In nunc,. Eget. Sed massa fames. Bibendum faucibus egestas nulla pulvinar. Sem ac suspendisse at at leo tincidunt libero eget integer lorem sit ullamcorper diam. Metus,. Sit neque,. Facilisis in viverra mauris. Amet, dolor sit lacus egestas diam. Quam odio et vel platea sed ut gravida. Nunc turpis. Pulvinar egestas leo a leo vel. Sed cum eget et, neque mi. Enim congue dolor. Turpis. Quisque sit…</x:v>
      </x:c>
      <x:c r="U369" s="6" t="str">
        <x:v>0</x:v>
      </x:c>
      <x:c r="V369" s="6" t="str">
        <x:v>0</x:v>
      </x:c>
      <x:c r="W369" s="6" t="str">
        <x:v>0</x:v>
      </x:c>
      <x:c r="X369" s="6" t="str">
        <x:v>1</x:v>
      </x:c>
      <x:c r="Y369" s="6" t="str">
        <x:v>0</x:v>
      </x:c>
      <x:c r="Z369" s="6" t="str">
        <x:v>1</x:v>
      </x:c>
      <x:c r="AA369" s="6" t="str">
        <x:v>0.0</x:v>
      </x:c>
      <x:c r="AB369" s="20" t="str">
        <x:v>Codex证据复核v1：原始记录唯一匹配、环境实测、反事实配对ID完整、终止且非成功、奖励非正、队列标签与结果派生规则一致；非人工签字。</x:v>
      </x:c>
    </x:row>
    <x:row r="370" ht="46" customHeight="1">
      <x:c r="A370" s="6" t="str">
        <x:v>1</x:v>
      </x:c>
      <x:c r="B370" s="6" t="str">
        <x:v>3dec77e96149699a3ac6</x:v>
      </x:c>
      <x:c r="C370" s="6" t="str">
        <x:v>evidence_approved</x:v>
      </x:c>
      <x:c r="D370" s="6" t="str">
        <x:v>codex-evidence-review-v1</x:v>
      </x:c>
      <x:c r="E370" s="22" t="n">
        <x:v>46244.40206471065</x:v>
      </x:c>
      <x:c r="F370" s="6" t="str">
        <x:v>20</x:v>
      </x:c>
      <x:c r="G370" s="20" t="str">
        <x:v>observed_counterfactual;severe_failure;terminal</x:v>
      </x:c>
      <x:c r="H370" s="20" t="str">
        <x:v>browsergym/miniwob.enter-password</x:v>
      </x:c>
      <x:c r="I370" s="6" t="str">
        <x:v>browsergym/miniwob.enter-password</x:v>
      </x:c>
      <x:c r="J370" s="6" t="str">
        <x:v>cf-enter-password-seed1035-hard_wrong_target</x:v>
      </x:c>
      <x:c r="K370" s="6" t="str">
        <x:v>0</x:v>
      </x:c>
      <x:c r="L370" s="20" t="str">
        <x:v>Enter the password "kPq0" into both text fields and press submit.</x:v>
      </x:c>
      <x:c r="M370" s="20" t="str">
        <x:v>click("20", "left")</x:v>
      </x:c>
      <x:c r="N370" s="6" t="str">
        <x:v>0.0</x:v>
      </x:c>
      <x:c r="O370" s="20" t="str">
        <x:v>file:///root/autodl-tmp/miniwob-plusplus/miniwob/html/miniwob/enter-password.html</x:v>
      </x:c>
      <x:c r="P370" s="20" t="str">
        <x:v>Enter Password Task</x:v>
      </x:c>
      <x:c r="Q370" s="20" t="str">
        <x:v>RootWebArea 'Enter Password Task', focused [14] paragraph '' [15] LabelText '' StaticText 'Password' [16] textbox '', clickable [17] paragraph '' [18] LabelText '' StaticText 'Verify password' [19] textbox '', clickable [20] button 'Submit', clickable</x:v>
      </x:c>
      <x:c r="R370" s="20" t="str">
        <x:v>file:///root/autodl-tmp/miniwob-plusplus/miniwob/html/miniwob/enter-password.html</x:v>
      </x:c>
      <x:c r="S370" s="20" t="str">
        <x:v>Enter Password Task</x:v>
      </x:c>
      <x:c r="T370" s="20" t="str">
        <x:v>RootWebArea 'Enter Password Task', focused [14] paragraph '' [15] LabelText '' StaticText 'Password' [16] textbox '', clickable [17] paragraph '' [18] LabelText '' StaticText 'Verify password' [19] textbox '', clickable [20] button 'Submit', clickable, focused</x:v>
      </x:c>
      <x:c r="U370" s="6" t="str">
        <x:v>0</x:v>
      </x:c>
      <x:c r="V370" s="6" t="str">
        <x:v>0</x:v>
      </x:c>
      <x:c r="W370" s="6" t="str">
        <x:v>0</x:v>
      </x:c>
      <x:c r="X370" s="6" t="str">
        <x:v>1</x:v>
      </x:c>
      <x:c r="Y370" s="6" t="str">
        <x:v>0</x:v>
      </x:c>
      <x:c r="Z370" s="6" t="str">
        <x:v>1</x:v>
      </x:c>
      <x:c r="AA370" s="6" t="str">
        <x:v>0.0</x:v>
      </x:c>
      <x:c r="AB370" s="20" t="str">
        <x:v>Codex证据复核v1：原始记录唯一匹配、环境实测、反事实配对ID完整、终止且非成功、奖励非正、队列标签与结果派生规则一致；非人工签字。</x:v>
      </x:c>
    </x:row>
    <x:row r="371" ht="46" customHeight="1">
      <x:c r="A371" s="6" t="str">
        <x:v>1</x:v>
      </x:c>
      <x:c r="B371" s="6" t="str">
        <x:v>8cff2030c629796ff27c</x:v>
      </x:c>
      <x:c r="C371" s="6" t="str">
        <x:v>evidence_approved</x:v>
      </x:c>
      <x:c r="D371" s="6" t="str">
        <x:v>codex-evidence-review-v1</x:v>
      </x:c>
      <x:c r="E371" s="22" t="n">
        <x:v>46244.40206471065</x:v>
      </x:c>
      <x:c r="F371" s="6" t="str">
        <x:v>20</x:v>
      </x:c>
      <x:c r="G371" s="20" t="str">
        <x:v>observed_counterfactual;severe_failure;terminal</x:v>
      </x:c>
      <x:c r="H371" s="20" t="str">
        <x:v>browsergym/miniwob.enter-text-2</x:v>
      </x:c>
      <x:c r="I371" s="6" t="str">
        <x:v>browsergym/miniwob.enter-text-2</x:v>
      </x:c>
      <x:c r="J371" s="6" t="str">
        <x:v>cf-enter-text-2-seed1000-hard_wrong_target</x:v>
      </x:c>
      <x:c r="K371" s="6" t="str">
        <x:v>0</x:v>
      </x:c>
      <x:c r="L371" s="20" t="str">
        <x:v>Type "kasie" in all upper case letters in the text input and press Submit.</x:v>
      </x:c>
      <x:c r="M371" s="20" t="str">
        <x:v>click("15", "left")</x:v>
      </x:c>
      <x:c r="N371" s="6" t="str">
        <x:v>0.0</x:v>
      </x:c>
      <x:c r="O371" s="20" t="str">
        <x:v>file:///root/autodl-tmp/miniwob-plusplus/miniwob/html/miniwob/enter-text-2.html</x:v>
      </x:c>
      <x:c r="P371" s="20" t="str">
        <x:v>Enter Text Task</x:v>
      </x:c>
      <x:c r="Q371" s="20" t="str">
        <x:v>RootWebArea 'Enter Text Task', focused [14] textbox '', clickable [15] button 'Submit', clickable</x:v>
      </x:c>
      <x:c r="R371" s="20" t="str">
        <x:v>file:///root/autodl-tmp/miniwob-plusplus/miniwob/html/miniwob/enter-text-2.html</x:v>
      </x:c>
      <x:c r="S371" s="20" t="str">
        <x:v>Enter Text Task</x:v>
      </x:c>
      <x:c r="T371" s="20" t="str">
        <x:v>RootWebArea 'Enter Text Task', focused [14] textbox '', clickable [15] button 'Submit', clickable, focused</x:v>
      </x:c>
      <x:c r="U371" s="6" t="str">
        <x:v>0</x:v>
      </x:c>
      <x:c r="V371" s="6" t="str">
        <x:v>0</x:v>
      </x:c>
      <x:c r="W371" s="6" t="str">
        <x:v>0</x:v>
      </x:c>
      <x:c r="X371" s="6" t="str">
        <x:v>1</x:v>
      </x:c>
      <x:c r="Y371" s="6" t="str">
        <x:v>0</x:v>
      </x:c>
      <x:c r="Z371" s="6" t="str">
        <x:v>1</x:v>
      </x:c>
      <x:c r="AA371" s="6" t="str">
        <x:v>0.0</x:v>
      </x:c>
      <x:c r="AB371" s="20" t="str">
        <x:v>Codex证据复核v1：原始记录唯一匹配、环境实测、反事实配对ID完整、终止且非成功、奖励非正、队列标签与结果派生规则一致；非人工签字。</x:v>
      </x:c>
    </x:row>
    <x:row r="372" ht="46" customHeight="1">
      <x:c r="A372" s="6" t="str">
        <x:v>1</x:v>
      </x:c>
      <x:c r="B372" s="6" t="str">
        <x:v>cd6ebef5ba74218a3c74</x:v>
      </x:c>
      <x:c r="C372" s="6" t="str">
        <x:v>evidence_approved</x:v>
      </x:c>
      <x:c r="D372" s="6" t="str">
        <x:v>codex-evidence-review-v1</x:v>
      </x:c>
      <x:c r="E372" s="22" t="n">
        <x:v>46244.40206471065</x:v>
      </x:c>
      <x:c r="F372" s="6" t="str">
        <x:v>20</x:v>
      </x:c>
      <x:c r="G372" s="20" t="str">
        <x:v>observed_counterfactual;severe_failure;terminal</x:v>
      </x:c>
      <x:c r="H372" s="20" t="str">
        <x:v>browsergym/miniwob.enter-password</x:v>
      </x:c>
      <x:c r="I372" s="6" t="str">
        <x:v>browsergym/miniwob.enter-password</x:v>
      </x:c>
      <x:c r="J372" s="6" t="str">
        <x:v>cf-enter-password-seed1036-hard_wrong_target</x:v>
      </x:c>
      <x:c r="K372" s="6" t="str">
        <x:v>0</x:v>
      </x:c>
      <x:c r="L372" s="20" t="str">
        <x:v>Enter the password "j4z" into both text fields and press submit.</x:v>
      </x:c>
      <x:c r="M372" s="20" t="str">
        <x:v>click("20", "left")</x:v>
      </x:c>
      <x:c r="N372" s="6" t="str">
        <x:v>0.0</x:v>
      </x:c>
      <x:c r="O372" s="20" t="str">
        <x:v>file:///root/autodl-tmp/miniwob-plusplus/miniwob/html/miniwob/enter-password.html</x:v>
      </x:c>
      <x:c r="P372" s="20" t="str">
        <x:v>Enter Password Task</x:v>
      </x:c>
      <x:c r="Q372" s="20" t="str">
        <x:v>RootWebArea 'Enter Password Task', focused [14] paragraph '' [15] LabelText '' StaticText 'Password' [16] textbox '', clickable [17] paragraph '' [18] LabelText '' StaticText 'Verify password' [19] textbox '', clickable [20] button 'Submit', clickable</x:v>
      </x:c>
      <x:c r="R372" s="20" t="str">
        <x:v>file:///root/autodl-tmp/miniwob-plusplus/miniwob/html/miniwob/enter-password.html</x:v>
      </x:c>
      <x:c r="S372" s="20" t="str">
        <x:v>Enter Password Task</x:v>
      </x:c>
      <x:c r="T372" s="20" t="str">
        <x:v>RootWebArea 'Enter Password Task', focused [14] paragraph '' [15] LabelText '' StaticText 'Password' [16] textbox '', clickable [17] paragraph '' [18] LabelText '' StaticText 'Verify password' [19] textbox '', clickable [20] button 'Submit', clickable, focused</x:v>
      </x:c>
      <x:c r="U372" s="6" t="str">
        <x:v>0</x:v>
      </x:c>
      <x:c r="V372" s="6" t="str">
        <x:v>0</x:v>
      </x:c>
      <x:c r="W372" s="6" t="str">
        <x:v>0</x:v>
      </x:c>
      <x:c r="X372" s="6" t="str">
        <x:v>1</x:v>
      </x:c>
      <x:c r="Y372" s="6" t="str">
        <x:v>0</x:v>
      </x:c>
      <x:c r="Z372" s="6" t="str">
        <x:v>1</x:v>
      </x:c>
      <x:c r="AA372" s="6" t="str">
        <x:v>0.0</x:v>
      </x:c>
      <x:c r="AB372" s="20" t="str">
        <x:v>Codex证据复核v1：原始记录唯一匹配、环境实测、反事实配对ID完整、终止且非成功、奖励非正、队列标签与结果派生规则一致；非人工签字。</x:v>
      </x:c>
    </x:row>
    <x:row r="373" ht="46" customHeight="1">
      <x:c r="A373" s="6" t="str">
        <x:v>1</x:v>
      </x:c>
      <x:c r="B373" s="6" t="str">
        <x:v>bf8ffb88f1eb932a2bba</x:v>
      </x:c>
      <x:c r="C373" s="6" t="str">
        <x:v>evidence_approved</x:v>
      </x:c>
      <x:c r="D373" s="6" t="str">
        <x:v>codex-evidence-review-v1</x:v>
      </x:c>
      <x:c r="E373" s="22" t="n">
        <x:v>46244.40206471065</x:v>
      </x:c>
      <x:c r="F373" s="6" t="str">
        <x:v>20</x:v>
      </x:c>
      <x:c r="G373" s="20" t="str">
        <x:v>observed_counterfactual;severe_failure;terminal</x:v>
      </x:c>
      <x:c r="H373" s="20" t="str">
        <x:v>browsergym/miniwob.login-user</x:v>
      </x:c>
      <x:c r="I373" s="6" t="str">
        <x:v>browsergym/miniwob.login-user</x:v>
      </x:c>
      <x:c r="J373" s="6" t="str">
        <x:v>cf-login-user-seed1031-hard_wrong_target</x:v>
      </x:c>
      <x:c r="K373" s="6" t="str">
        <x:v>0</x:v>
      </x:c>
      <x:c r="L373" s="20" t="str">
        <x:v>Enter the username "chas" and the password "WrY3f" into the text fields and press login.</x:v>
      </x:c>
      <x:c r="M373" s="20" t="str">
        <x:v>click("20", "left")</x:v>
      </x:c>
      <x:c r="N373" s="6" t="str">
        <x:v>0.0</x:v>
      </x:c>
      <x:c r="O373" s="20" t="str">
        <x:v>file:///root/autodl-tmp/miniwob-plusplus/miniwob/html/miniwob/login-user.html</x:v>
      </x:c>
      <x:c r="P373" s="20" t="str">
        <x:v>Login User Task</x:v>
      </x:c>
      <x:c r="Q373" s="20" t="str">
        <x:v>RootWebArea 'Login User Task', focused [14] paragraph '' [15] LabelText '' StaticText 'Username' [16] textbox '', clickable [17] paragraph '' [18] LabelText '' StaticText 'Password' [19] textbox '', clickable [20] button 'Login', clickable</x:v>
      </x:c>
      <x:c r="R373" s="20" t="str">
        <x:v>file:///root/autodl-tmp/miniwob-plusplus/miniwob/html/miniwob/login-user.html</x:v>
      </x:c>
      <x:c r="S373" s="20" t="str">
        <x:v>Login User Task</x:v>
      </x:c>
      <x:c r="T373" s="20" t="str">
        <x:v>RootWebArea 'Login User Task', focused [14] paragraph '' [15] LabelText '' StaticText 'Username' [16] textbox '', clickable [17] paragraph '' [18] LabelText '' StaticText 'Password' [19] textbox '', clickable [20] button 'Login', clickable, focused</x:v>
      </x:c>
      <x:c r="U373" s="6" t="str">
        <x:v>0</x:v>
      </x:c>
      <x:c r="V373" s="6" t="str">
        <x:v>0</x:v>
      </x:c>
      <x:c r="W373" s="6" t="str">
        <x:v>0</x:v>
      </x:c>
      <x:c r="X373" s="6" t="str">
        <x:v>1</x:v>
      </x:c>
      <x:c r="Y373" s="6" t="str">
        <x:v>0</x:v>
      </x:c>
      <x:c r="Z373" s="6" t="str">
        <x:v>1</x:v>
      </x:c>
      <x:c r="AA373" s="6" t="str">
        <x:v>0.0</x:v>
      </x:c>
      <x:c r="AB373" s="20" t="str">
        <x:v>Codex证据复核v1：原始记录唯一匹配、环境实测、反事实配对ID完整、终止且非成功、奖励非正、队列标签与结果派生规则一致；非人工签字。</x:v>
      </x:c>
    </x:row>
    <x:row r="374" ht="46" customHeight="1">
      <x:c r="A374" s="6" t="str">
        <x:v>1</x:v>
      </x:c>
      <x:c r="B374" s="6" t="str">
        <x:v>0c41e6146fe3d2ef1796</x:v>
      </x:c>
      <x:c r="C374" s="6" t="str">
        <x:v>evidence_approved</x:v>
      </x:c>
      <x:c r="D374" s="6" t="str">
        <x:v>codex-evidence-review-v1</x:v>
      </x:c>
      <x:c r="E374" s="22" t="n">
        <x:v>46244.40206471065</x:v>
      </x:c>
      <x:c r="F374" s="6" t="str">
        <x:v>20</x:v>
      </x:c>
      <x:c r="G374" s="20" t="str">
        <x:v>observed_counterfactual;severe_failure;terminal</x:v>
      </x:c>
      <x:c r="H374" s="20" t="str">
        <x:v>browsergym/miniwob.enter-text-dynamic</x:v>
      </x:c>
      <x:c r="I374" s="6" t="str">
        <x:v>browsergym/miniwob.enter-text-dynamic</x:v>
      </x:c>
      <x:c r="J374" s="6" t="str">
        <x:v>cf-enter-text-dynamic-seed1006-hard_wrong_target</x:v>
      </x:c>
      <x:c r="K374" s="6" t="str">
        <x:v>0</x:v>
      </x:c>
      <x:c r="L374" s="20" t="str">
        <x:v>Enter "iGsH" into the text field and press Submit.</x:v>
      </x:c>
      <x:c r="M374" s="20" t="str">
        <x:v>click("15", "left")</x:v>
      </x:c>
      <x:c r="N374" s="6" t="str">
        <x:v>0.0</x:v>
      </x:c>
      <x:c r="O374" s="20" t="str">
        <x:v>file:///root/autodl-tmp/miniwob-plusplus/miniwob/html/miniwob/enter-text-dynamic.html</x:v>
      </x:c>
      <x:c r="P374" s="20" t="str">
        <x:v>Enter Dynamic Text Task</x:v>
      </x:c>
      <x:c r="Q374" s="20" t="str">
        <x:v>RootWebArea 'Enter Dynamic Text Task', focused [14] textbox '', clickable [15] button 'Submit', clickable</x:v>
      </x:c>
      <x:c r="R374" s="20" t="str">
        <x:v>file:///root/autodl-tmp/miniwob-plusplus/miniwob/html/miniwob/enter-text-dynamic.html</x:v>
      </x:c>
      <x:c r="S374" s="20" t="str">
        <x:v>Enter Dynamic Text Task</x:v>
      </x:c>
      <x:c r="T374" s="20" t="str">
        <x:v>RootWebArea 'Enter Dynamic Text Task', focused [14] textbox '', clickable [15] button 'Submit', clickable, focused</x:v>
      </x:c>
      <x:c r="U374" s="6" t="str">
        <x:v>0</x:v>
      </x:c>
      <x:c r="V374" s="6" t="str">
        <x:v>0</x:v>
      </x:c>
      <x:c r="W374" s="6" t="str">
        <x:v>0</x:v>
      </x:c>
      <x:c r="X374" s="6" t="str">
        <x:v>1</x:v>
      </x:c>
      <x:c r="Y374" s="6" t="str">
        <x:v>0</x:v>
      </x:c>
      <x:c r="Z374" s="6" t="str">
        <x:v>1</x:v>
      </x:c>
      <x:c r="AA374" s="6" t="str">
        <x:v>0.0</x:v>
      </x:c>
      <x:c r="AB374" s="20" t="str">
        <x:v>Codex证据复核v1：原始记录唯一匹配、环境实测、反事实配对ID完整、终止且非成功、奖励非正、队列标签与结果派生规则一致；非人工签字。</x:v>
      </x:c>
    </x:row>
    <x:row r="375" ht="46" customHeight="1">
      <x:c r="A375" s="6" t="str">
        <x:v>1</x:v>
      </x:c>
      <x:c r="B375" s="6" t="str">
        <x:v>5d549ed18f4bc0814b40</x:v>
      </x:c>
      <x:c r="C375" s="6" t="str">
        <x:v>evidence_approved</x:v>
      </x:c>
      <x:c r="D375" s="6" t="str">
        <x:v>codex-evidence-review-v1</x:v>
      </x:c>
      <x:c r="E375" s="22" t="n">
        <x:v>46244.40206471065</x:v>
      </x:c>
      <x:c r="F375" s="6" t="str">
        <x:v>20</x:v>
      </x:c>
      <x:c r="G375" s="20" t="str">
        <x:v>observed_counterfactual;severe_failure;terminal</x:v>
      </x:c>
      <x:c r="H375" s="20" t="str">
        <x:v>browsergym/miniwob.click-widget</x:v>
      </x:c>
      <x:c r="I375" s="6" t="str">
        <x:v>browsergym/miniwob.click-widget</x:v>
      </x:c>
      <x:c r="J375" s="6" t="str">
        <x:v>cf-click-widget-seed1004-missing_target</x:v>
      </x:c>
      <x:c r="K375" s="6" t="str">
        <x:v>0</x:v>
      </x:c>
      <x:c r="L375" s="20" t="str">
        <x:v>Click on a "checkbox" widget.</x:v>
      </x:c>
      <x:c r="M375" s="20" t="str">
        <x:v>click("18", "left")</x:v>
      </x:c>
      <x:c r="N375" s="6" t="str">
        <x:v>0.0</x:v>
      </x:c>
      <x:c r="O375" s="20" t="str">
        <x:v>file:///root/autodl-tmp/miniwob-plusplus/miniwob/html/miniwob/click-widget.html</x:v>
      </x:c>
      <x:c r="P375" s="20" t="str">
        <x:v>Click Widget Task</x:v>
      </x:c>
      <x:c r="Q375" s="20" t="str">
        <x:v>RootWebArea 'Click Widget Task', focused [14] LabelText '', clickable [15] checkbox 'S67zn', clickable, checked='false' StaticText 'S67zn' [17] LabelText '', clickable [18] radio 'QmJ', clickable, checked='false' StaticText 'QmJ' [20] LabelText '', clickable [21] checkbox 'sHjV', clickable, checked='false' StaticText 'sHjV' [23] LabelText '', clickable [24] radio '38hMu', clickable, checked='false' StaticText '38hMu' [26] LabelText '', clickable [27] checkbox 'mbcuP', clickable, checked='false' StaticText 'mbcuP'</x:v>
      </x:c>
      <x:c r="R375" s="20" t="str">
        <x:v>file:///root/autodl-tmp/miniwob-plusplus/miniwob/html/miniwob/click-widget.html</x:v>
      </x:c>
      <x:c r="S375" s="20" t="str">
        <x:v>Click Widget Task</x:v>
      </x:c>
      <x:c r="T375" s="20" t="str">
        <x:v>RootWebArea 'Click Widget Task', focused [14] LabelText '', clickable [15] checkbox 'S67zn', clickable, checked='false' StaticText 'S67zn' [17] LabelText '', clickable [18] radio 'QmJ', clickable, focused, checked='true' StaticText 'QmJ' [20] LabelText '', clickable [21] checkbox 'sHjV', clickable, checked='false' StaticText 'sHjV' [23] LabelText '', clickable [24] radio '38hMu', clickable, checked='false' StaticText '38hMu' [26] LabelText '', clickable [27] checkbox 'mbcuP', clickable, checked='false' StaticText 'mbcuP'</x:v>
      </x:c>
      <x:c r="U375" s="6" t="str">
        <x:v>0</x:v>
      </x:c>
      <x:c r="V375" s="6" t="str">
        <x:v>0</x:v>
      </x:c>
      <x:c r="W375" s="6" t="str">
        <x:v>0</x:v>
      </x:c>
      <x:c r="X375" s="6" t="str">
        <x:v>1</x:v>
      </x:c>
      <x:c r="Y375" s="6" t="str">
        <x:v>0</x:v>
      </x:c>
      <x:c r="Z375" s="6" t="str">
        <x:v>1</x:v>
      </x:c>
      <x:c r="AA375" s="6" t="str">
        <x:v>0.0</x:v>
      </x:c>
      <x:c r="AB375" s="20" t="str">
        <x:v>Codex证据复核v1：原始记录唯一匹配、环境实测、反事实配对ID完整、终止且非成功、奖励非正、队列标签与结果派生规则一致；非人工签字。</x:v>
      </x:c>
    </x:row>
    <x:row r="376" ht="46" customHeight="1">
      <x:c r="A376" s="6" t="str">
        <x:v>1</x:v>
      </x:c>
      <x:c r="B376" s="6" t="str">
        <x:v>0d9ed0de2f91fdfc93c0</x:v>
      </x:c>
      <x:c r="C376" s="6" t="str">
        <x:v>evidence_approved</x:v>
      </x:c>
      <x:c r="D376" s="6" t="str">
        <x:v>codex-evidence-review-v1</x:v>
      </x:c>
      <x:c r="E376" s="22" t="n">
        <x:v>46244.40206471065</x:v>
      </x:c>
      <x:c r="F376" s="6" t="str">
        <x:v>20</x:v>
      </x:c>
      <x:c r="G376" s="20" t="str">
        <x:v>observed_counterfactual;severe_failure;terminal</x:v>
      </x:c>
      <x:c r="H376" s="20" t="str">
        <x:v>browsergym/miniwob.click-widget</x:v>
      </x:c>
      <x:c r="I376" s="6" t="str">
        <x:v>browsergym/miniwob.click-widget</x:v>
      </x:c>
      <x:c r="J376" s="6" t="str">
        <x:v>cf-click-widget-seed1006-hard_wrong_target</x:v>
      </x:c>
      <x:c r="K376" s="6" t="str">
        <x:v>0</x:v>
      </x:c>
      <x:c r="L376" s="20" t="str">
        <x:v>Click on a "textarea" widget.</x:v>
      </x:c>
      <x:c r="M376" s="20" t="str">
        <x:v>click("24", "left")</x:v>
      </x:c>
      <x:c r="N376" s="6" t="str">
        <x:v>0.0</x:v>
      </x:c>
      <x:c r="O376" s="20" t="str">
        <x:v>file:///root/autodl-tmp/miniwob-plusplus/miniwob/html/miniwob/click-widget.html</x:v>
      </x:c>
      <x:c r="P376" s="20" t="str">
        <x:v>Click Widget Task</x:v>
      </x:c>
      <x:c r="Q376" s="20" t="str">
        <x:v>RootWebArea 'Click Widget Task', focused [14] LabelText '', clickable [15] radio 'zH', clickable, checked='false' StaticText 'zH' [17] LabelText '', clickable [18] radio 'sHzY', clickable, checked='false' StaticText 'sHzY' [20] button 'sn959' [22] textbox '' value='20' StaticText '20' [24] button 'm'</x:v>
      </x:c>
      <x:c r="R376" s="20" t="str">
        <x:v>file:///root/autodl-tmp/miniwob-plusplus/miniwob/html/miniwob/click-widget.html</x:v>
      </x:c>
      <x:c r="S376" s="20" t="str">
        <x:v>Click Widget Task</x:v>
      </x:c>
      <x:c r="T376" s="20" t="str">
        <x:v>RootWebArea 'Click Widget Task', focused [14] LabelText '', clickable [15] radio 'zH', clickable, checked='false' StaticText 'zH' [17] LabelText '', clickable [18] radio 'sHzY', clickable, checked='false' StaticText 'sHzY' [20] button 'sn959' [22] textbox '' value='20' StaticText '20' [24] button 'm', focused</x:v>
      </x:c>
      <x:c r="U376" s="6" t="str">
        <x:v>0</x:v>
      </x:c>
      <x:c r="V376" s="6" t="str">
        <x:v>0</x:v>
      </x:c>
      <x:c r="W376" s="6" t="str">
        <x:v>0</x:v>
      </x:c>
      <x:c r="X376" s="6" t="str">
        <x:v>1</x:v>
      </x:c>
      <x:c r="Y376" s="6" t="str">
        <x:v>0</x:v>
      </x:c>
      <x:c r="Z376" s="6" t="str">
        <x:v>1</x:v>
      </x:c>
      <x:c r="AA376" s="6" t="str">
        <x:v>0.0</x:v>
      </x:c>
      <x:c r="AB376" s="20" t="str">
        <x:v>Codex证据复核v1：原始记录唯一匹配、环境实测、反事实配对ID完整、终止且非成功、奖励非正、队列标签与结果派生规则一致；非人工签字。</x:v>
      </x:c>
    </x:row>
    <x:row r="377" ht="46" customHeight="1">
      <x:c r="A377" s="6" t="str">
        <x:v>1</x:v>
      </x:c>
      <x:c r="B377" s="6" t="str">
        <x:v>b20f86f11766ca4f9cd1</x:v>
      </x:c>
      <x:c r="C377" s="6" t="str">
        <x:v>evidence_approved</x:v>
      </x:c>
      <x:c r="D377" s="6" t="str">
        <x:v>codex-evidence-review-v1</x:v>
      </x:c>
      <x:c r="E377" s="22" t="n">
        <x:v>46244.40206471065</x:v>
      </x:c>
      <x:c r="F377" s="6" t="str">
        <x:v>20</x:v>
      </x:c>
      <x:c r="G377" s="20" t="str">
        <x:v>observed_counterfactual;severe_failure;terminal</x:v>
      </x:c>
      <x:c r="H377" s="20" t="str">
        <x:v>browsergym/miniwob.click-tab</x:v>
      </x:c>
      <x:c r="I377" s="6" t="str">
        <x:v>browsergym/miniwob.click-tab</x:v>
      </x:c>
      <x:c r="J377" s="6" t="str">
        <x:v>cf-click-tab-seed1019-hard_wrong_target</x:v>
      </x:c>
      <x:c r="K377" s="6" t="str">
        <x:v>0</x:v>
      </x:c>
      <x:c r="L377" s="20" t="str">
        <x:v>Click on Tab #3.</x:v>
      </x:c>
      <x:c r="M377" s="20" t="str">
        <x:v>click("19", "left")</x:v>
      </x:c>
      <x:c r="N377" s="6" t="str">
        <x:v>0.0</x:v>
      </x:c>
      <x:c r="O377" s="20" t="str">
        <x:v>file:///root/autodl-tmp/miniwob-plusplus/miniwob/html/miniwob/click-tab.html</x:v>
      </x:c>
      <x:c r="P377" s="20" t="str">
        <x:v>Click Tab Task</x:v>
      </x:c>
      <x:c r="Q377"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'Vitae lectus et feugiat velit. Turpis dignissim id sapien quisque non nisl sapien. Egestas. Adipiscing justo,. Tincidunt mauris aliquam. Tortor.'</x:v>
      </x:c>
      <x:c r="R377" s="20" t="str">
        <x:v>file:///root/autodl-tmp/miniwob-plusplus/miniwob/html/miniwob/click-tab.html</x:v>
      </x:c>
      <x:c r="S377" s="20" t="str">
        <x:v>Click Tab Task</x:v>
      </x:c>
      <x:c r="T377"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'Amet vitae enim nec pretium convallis donec dui eros,. Nullam in tortor amet faucibus senectus quam tincidunt et. Vestibulum faucibus.'</x:v>
      </x:c>
      <x:c r="U377" s="6" t="str">
        <x:v>0</x:v>
      </x:c>
      <x:c r="V377" s="6" t="str">
        <x:v>0</x:v>
      </x:c>
      <x:c r="W377" s="6" t="str">
        <x:v>0</x:v>
      </x:c>
      <x:c r="X377" s="6" t="str">
        <x:v>1</x:v>
      </x:c>
      <x:c r="Y377" s="6" t="str">
        <x:v>0</x:v>
      </x:c>
      <x:c r="Z377" s="6" t="str">
        <x:v>1</x:v>
      </x:c>
      <x:c r="AA377" s="6" t="str">
        <x:v>0.0</x:v>
      </x:c>
      <x:c r="AB377" s="20" t="str">
        <x:v>Codex证据复核v1：原始记录唯一匹配、环境实测、反事实配对ID完整、终止且非成功、奖励非正、队列标签与结果派生规则一致；非人工签字。</x:v>
      </x:c>
    </x:row>
    <x:row r="378" ht="46" customHeight="1">
      <x:c r="A378" s="6" t="str">
        <x:v>1</x:v>
      </x:c>
      <x:c r="B378" s="6" t="str">
        <x:v>ef889d0c6abb1d3d4eda</x:v>
      </x:c>
      <x:c r="C378" s="6" t="str">
        <x:v>evidence_approved</x:v>
      </x:c>
      <x:c r="D378" s="6" t="str">
        <x:v>codex-evidence-review-v1</x:v>
      </x:c>
      <x:c r="E378" s="22" t="n">
        <x:v>46244.40206471065</x:v>
      </x:c>
      <x:c r="F378" s="6" t="str">
        <x:v>20</x:v>
      </x:c>
      <x:c r="G378" s="20" t="str">
        <x:v>observed_counterfactual;severe_failure;terminal</x:v>
      </x:c>
      <x:c r="H378" s="20" t="str">
        <x:v>browsergym/miniwob.choose-list</x:v>
      </x:c>
      <x:c r="I378" s="6" t="str">
        <x:v>browsergym/miniwob.choose-list</x:v>
      </x:c>
      <x:c r="J378" s="6" t="str">
        <x:v>cf-choose-list-seed1022-wrong_action_type</x:v>
      </x:c>
      <x:c r="K378" s="6" t="str">
        <x:v>0</x:v>
      </x:c>
      <x:c r="L378" s="20" t="str">
        <x:v>Select Gertrudis from the list and click Submit.</x:v>
      </x:c>
      <x:c r="M378" s="20" t="str">
        <x:v>click("22", "left")</x:v>
      </x:c>
      <x:c r="N378" s="6" t="str">
        <x:v>0.0</x:v>
      </x:c>
      <x:c r="O378" s="20" t="str">
        <x:v>file:///root/autodl-tmp/miniwob-plusplus/miniwob/html/miniwob/choose-list.html</x:v>
      </x:c>
      <x:c r="P378" s="20" t="str">
        <x:v>Choose List Task</x:v>
      </x:c>
      <x:c r="Q378" s="20" t="str">
        <x:v>RootWebArea 'Choose List Task', focused [13] combobox '' value='Aridatha', hasPopup='menu', expanded=False [22] button 'Submit', clickable</x:v>
      </x:c>
      <x:c r="R378" s="20" t="str">
        <x:v>file:///root/autodl-tmp/miniwob-plusplus/miniwob/html/miniwob/choose-list.html</x:v>
      </x:c>
      <x:c r="S378" s="20" t="str">
        <x:v>Choose List Task</x:v>
      </x:c>
      <x:c r="T378" s="20" t="str">
        <x:v>RootWebArea 'Choose List Task', focused [13] combobox '' value='Aridatha', hasPopup='menu', expanded=False [22] button 'Submit', clickable, focused</x:v>
      </x:c>
      <x:c r="U378" s="6" t="str">
        <x:v>0</x:v>
      </x:c>
      <x:c r="V378" s="6" t="str">
        <x:v>0</x:v>
      </x:c>
      <x:c r="W378" s="6" t="str">
        <x:v>0</x:v>
      </x:c>
      <x:c r="X378" s="6" t="str">
        <x:v>1</x:v>
      </x:c>
      <x:c r="Y378" s="6" t="str">
        <x:v>0</x:v>
      </x:c>
      <x:c r="Z378" s="6" t="str">
        <x:v>1</x:v>
      </x:c>
      <x:c r="AA378" s="6" t="str">
        <x:v>0.0</x:v>
      </x:c>
      <x:c r="AB378" s="20" t="str">
        <x:v>Codex证据复核v1：原始记录唯一匹配、环境实测、反事实配对ID完整、终止且非成功、奖励非正、队列标签与结果派生规则一致；非人工签字。</x:v>
      </x:c>
    </x:row>
    <x:row r="379" ht="46" customHeight="1">
      <x:c r="A379" s="6" t="str">
        <x:v>1</x:v>
      </x:c>
      <x:c r="B379" s="6" t="str">
        <x:v>831498f469a7aac5610e</x:v>
      </x:c>
      <x:c r="C379" s="6" t="str">
        <x:v>evidence_approved</x:v>
      </x:c>
      <x:c r="D379" s="6" t="str">
        <x:v>codex-evidence-review-v1</x:v>
      </x:c>
      <x:c r="E379" s="22" t="n">
        <x:v>46244.40206471065</x:v>
      </x:c>
      <x:c r="F379" s="6" t="str">
        <x:v>20</x:v>
      </x:c>
      <x:c r="G379" s="20" t="str">
        <x:v>observed_counterfactual;severe_failure;terminal</x:v>
      </x:c>
      <x:c r="H379" s="20" t="str">
        <x:v>browsergym/miniwob.click-tab</x:v>
      </x:c>
      <x:c r="I379" s="6" t="str">
        <x:v>browsergym/miniwob.click-tab</x:v>
      </x:c>
      <x:c r="J379" s="6" t="str">
        <x:v>cf-click-tab-seed1029-hard_wrong_target</x:v>
      </x:c>
      <x:c r="K379" s="6" t="str">
        <x:v>0</x:v>
      </x:c>
      <x:c r="L379" s="20" t="str">
        <x:v>Click on Tab #3.</x:v>
      </x:c>
      <x:c r="M379" s="20" t="str">
        <x:v>click("20", "left")</x:v>
      </x:c>
      <x:c r="N379" s="6" t="str">
        <x:v>0.0</x:v>
      </x:c>
      <x:c r="O379" s="20" t="str">
        <x:v>file:///root/autodl-tmp/miniwob-plusplus/miniwob/html/miniwob/click-tab.html</x:v>
      </x:c>
      <x:c r="P379" s="20" t="str">
        <x:v>Click Tab Task</x:v>
      </x:c>
      <x:c r="Q379" s="20" t="str">
        <x:v>RootWebArea 'Click Tab Task', focused [17] tablist '', clickable, multiselectable=False, orientation='horizontal' [18] tab 'Tab #1', expanded=False, selected=False, controls='tabs-1' [19] link 'Tab #1', clickable [20] tab 'Tab #2', expanded=True, selected=True, controls='tabs-2' [21] link 'Tab #2', clickable [22] tab 'Tab #3', expanded=False, selected=False, controls='tabs-3' [23] link 'Tab #3', clickable [26] tabpanel 'Tab #2' [27] paragraph '' StaticText 'Posuere. Nullam adipiscing proin etiam tristique imperdiet. Amet, nec nisi elementum. Amet est sollicitudin donec. Ultricies a orci volutpat tempor.'</x:v>
      </x:c>
      <x:c r="R379" s="20" t="str">
        <x:v>file:///root/autodl-tmp/miniwob-plusplus/miniwob/html/miniwob/click-tab.html</x:v>
      </x:c>
      <x:c r="S379" s="20" t="str">
        <x:v>Click Tab Task</x:v>
      </x:c>
      <x:c r="T379"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'Posuere. Nullam adipiscing proin etiam tristique imperdiet. Amet, nec nisi elementum. Amet est sollicitudin donec. Ultricies a orci volutpat tempor.'</x:v>
      </x:c>
      <x:c r="U379" s="6" t="str">
        <x:v>0</x:v>
      </x:c>
      <x:c r="V379" s="6" t="str">
        <x:v>0</x:v>
      </x:c>
      <x:c r="W379" s="6" t="str">
        <x:v>0</x:v>
      </x:c>
      <x:c r="X379" s="6" t="str">
        <x:v>1</x:v>
      </x:c>
      <x:c r="Y379" s="6" t="str">
        <x:v>0</x:v>
      </x:c>
      <x:c r="Z379" s="6" t="str">
        <x:v>1</x:v>
      </x:c>
      <x:c r="AA379" s="6" t="str">
        <x:v>0.0</x:v>
      </x:c>
      <x:c r="AB379" s="20" t="str">
        <x:v>Codex证据复核v1：原始记录唯一匹配、环境实测、反事实配对ID完整、终止且非成功、奖励非正、队列标签与结果派生规则一致；非人工签字。</x:v>
      </x:c>
    </x:row>
    <x:row r="380" ht="46" customHeight="1">
      <x:c r="A380" s="6" t="str">
        <x:v>1</x:v>
      </x:c>
      <x:c r="B380" s="6" t="str">
        <x:v>dcb88f2ad84429c0545a</x:v>
      </x:c>
      <x:c r="C380" s="6" t="str">
        <x:v>evidence_approved</x:v>
      </x:c>
      <x:c r="D380" s="6" t="str">
        <x:v>codex-evidence-review-v1</x:v>
      </x:c>
      <x:c r="E380" s="22" t="n">
        <x:v>46244.40206471065</x:v>
      </x:c>
      <x:c r="F380" s="6" t="str">
        <x:v>20</x:v>
      </x:c>
      <x:c r="G380" s="20" t="str">
        <x:v>observed_counterfactual;severe_failure;terminal</x:v>
      </x:c>
      <x:c r="H380" s="20" t="str">
        <x:v>browsergym/miniwob.click-dialog-2</x:v>
      </x:c>
      <x:c r="I380" s="6" t="str">
        <x:v>browsergym/miniwob.click-dialog-2</x:v>
      </x:c>
      <x:c r="J380" s="6" t="str">
        <x:v>cf-click-dialog-2-seed1024-hard_wrong_target</x:v>
      </x:c>
      <x:c r="K380" s="6" t="str">
        <x:v>0</x:v>
      </x:c>
      <x:c r="L380" s="20" t="str">
        <x:v>Click the button in the dialog box labeled "Cancel".</x:v>
      </x:c>
      <x:c r="M380" s="20" t="str">
        <x:v>click("20", "left")</x:v>
      </x:c>
      <x:c r="N380" s="6" t="str">
        <x:v>0.0</x:v>
      </x:c>
      <x:c r="O380" s="20" t="str">
        <x:v>file:///root/autodl-tmp/miniwob-plusplus/miniwob/html/miniwob/click-dialog-2.html</x:v>
      </x:c>
      <x:c r="P380" s="20" t="str">
        <x:v>Click Dialog Task</x:v>
      </x:c>
      <x:c r="Q380" s="20" t="str">
        <x:v>RootWebArea 'Click Dialog Task', focused [17] dialog '', clickable, modal=False, describedby='dialog' StaticText '' [20] button 'Close', clickable [24] paragraph '' StaticText 'Adipiscing condimentum tortor urna, volutpat sapien consectetur.' [27] button 'Cancel', clickable, focused [28] button 'OK', clickable</x:v>
      </x:c>
      <x:c r="R380" s="20" t="str">
        <x:v>file:///root/autodl-tmp/miniwob-plusplus/miniwob/html/miniwob/click-dialog-2.html</x:v>
      </x:c>
      <x:c r="S380" s="20" t="str">
        <x:v>Click Dialog Task</x:v>
      </x:c>
      <x:c r="T380" s="20" t="str">
        <x:v>RootWebArea 'Click Dialog Task', focused</x:v>
      </x:c>
      <x:c r="U380" s="6" t="str">
        <x:v>0</x:v>
      </x:c>
      <x:c r="V380" s="6" t="str">
        <x:v>0</x:v>
      </x:c>
      <x:c r="W380" s="6" t="str">
        <x:v>0</x:v>
      </x:c>
      <x:c r="X380" s="6" t="str">
        <x:v>1</x:v>
      </x:c>
      <x:c r="Y380" s="6" t="str">
        <x:v>0</x:v>
      </x:c>
      <x:c r="Z380" s="6" t="str">
        <x:v>1</x:v>
      </x:c>
      <x:c r="AA380" s="6" t="str">
        <x:v>0.0</x:v>
      </x:c>
      <x:c r="AB380" s="20" t="str">
        <x:v>Codex证据复核v1：原始记录唯一匹配、环境实测、反事实配对ID完整、终止且非成功、奖励非正、队列标签与结果派生规则一致；非人工签字。</x:v>
      </x:c>
    </x:row>
    <x:row r="381" ht="46" customHeight="1">
      <x:c r="A381" s="6" t="str">
        <x:v>1</x:v>
      </x:c>
      <x:c r="B381" s="6" t="str">
        <x:v>34ca14e36bd42490f3df</x:v>
      </x:c>
      <x:c r="C381" s="6" t="str">
        <x:v>evidence_approved</x:v>
      </x:c>
      <x:c r="D381" s="6" t="str">
        <x:v>codex-evidence-review-v1</x:v>
      </x:c>
      <x:c r="E381" s="22" t="n">
        <x:v>46244.40206471065</x:v>
      </x:c>
      <x:c r="F381" s="6" t="str">
        <x:v>20</x:v>
      </x:c>
      <x:c r="G381" s="20" t="str">
        <x:v>observed_counterfactual;severe_failure;terminal</x:v>
      </x:c>
      <x:c r="H381" s="20" t="str">
        <x:v>browsergym/miniwob.enter-text-dynamic</x:v>
      </x:c>
      <x:c r="I381" s="6" t="str">
        <x:v>browsergym/miniwob.enter-text-dynamic</x:v>
      </x:c>
      <x:c r="J381" s="6" t="str">
        <x:v>cf-enter-text-dynamic-seed1037-hard_wrong_target</x:v>
      </x:c>
      <x:c r="K381" s="6" t="str">
        <x:v>0</x:v>
      </x:c>
      <x:c r="L381" s="20" t="str">
        <x:v>Enter "i4cg" into the text field and press Submit.</x:v>
      </x:c>
      <x:c r="M381" s="20" t="str">
        <x:v>click("15", "left")</x:v>
      </x:c>
      <x:c r="N381" s="6" t="str">
        <x:v>0.0</x:v>
      </x:c>
      <x:c r="O381" s="20" t="str">
        <x:v>file:///root/autodl-tmp/miniwob-plusplus/miniwob/html/miniwob/enter-text-dynamic.html</x:v>
      </x:c>
      <x:c r="P381" s="20" t="str">
        <x:v>Enter Dynamic Text Task</x:v>
      </x:c>
      <x:c r="Q381" s="20" t="str">
        <x:v>RootWebArea 'Enter Dynamic Text Task', focused [14] textbox '', clickable [15] button 'Submit', clickable</x:v>
      </x:c>
      <x:c r="R381" s="20" t="str">
        <x:v>file:///root/autodl-tmp/miniwob-plusplus/miniwob/html/miniwob/enter-text-dynamic.html</x:v>
      </x:c>
      <x:c r="S381" s="20" t="str">
        <x:v>Enter Dynamic Text Task</x:v>
      </x:c>
      <x:c r="T381" s="20" t="str">
        <x:v>RootWebArea 'Enter Dynamic Text Task', focused [14] textbox '', clickable [15] button 'Submit', clickable, focused</x:v>
      </x:c>
      <x:c r="U381" s="6" t="str">
        <x:v>0</x:v>
      </x:c>
      <x:c r="V381" s="6" t="str">
        <x:v>0</x:v>
      </x:c>
      <x:c r="W381" s="6" t="str">
        <x:v>0</x:v>
      </x:c>
      <x:c r="X381" s="6" t="str">
        <x:v>1</x:v>
      </x:c>
      <x:c r="Y381" s="6" t="str">
        <x:v>0</x:v>
      </x:c>
      <x:c r="Z381" s="6" t="str">
        <x:v>1</x:v>
      </x:c>
      <x:c r="AA381" s="6" t="str">
        <x:v>0.0</x:v>
      </x:c>
      <x:c r="AB381" s="20" t="str">
        <x:v>Codex证据复核v1：原始记录唯一匹配、环境实测、反事实配对ID完整、终止且非成功、奖励非正、队列标签与结果派生规则一致；非人工签字。</x:v>
      </x:c>
    </x:row>
    <x:row r="382" ht="46" customHeight="1">
      <x:c r="A382" s="6" t="str">
        <x:v>1</x:v>
      </x:c>
      <x:c r="B382" s="6" t="str">
        <x:v>e9bb80e08f113c2f40a3</x:v>
      </x:c>
      <x:c r="C382" s="6" t="str">
        <x:v>evidence_approved</x:v>
      </x:c>
      <x:c r="D382" s="6" t="str">
        <x:v>codex-evidence-review-v1</x:v>
      </x:c>
      <x:c r="E382" s="22" t="n">
        <x:v>46244.40206471065</x:v>
      </x:c>
      <x:c r="F382" s="6" t="str">
        <x:v>20</x:v>
      </x:c>
      <x:c r="G382" s="20" t="str">
        <x:v>observed_counterfactual;severe_failure;terminal</x:v>
      </x:c>
      <x:c r="H382" s="20" t="str">
        <x:v>browsergym/miniwob.click-dialog-2</x:v>
      </x:c>
      <x:c r="I382" s="6" t="str">
        <x:v>browsergym/miniwob.click-dialog-2</x:v>
      </x:c>
      <x:c r="J382" s="6" t="str">
        <x:v>cf-click-dialog-2-seed1003-hard_wrong_target</x:v>
      </x:c>
      <x:c r="K382" s="6" t="str">
        <x:v>0</x:v>
      </x:c>
      <x:c r="L382" s="20" t="str">
        <x:v>Click the button in the dialog box labeled "OK".</x:v>
      </x:c>
      <x:c r="M382" s="20" t="str">
        <x:v>click("27", "left")</x:v>
      </x:c>
      <x:c r="N382" s="6" t="str">
        <x:v>0.0</x:v>
      </x:c>
      <x:c r="O382" s="20" t="str">
        <x:v>file:///root/autodl-tmp/miniwob-plusplus/miniwob/html/miniwob/click-dialog-2.html</x:v>
      </x:c>
      <x:c r="P382" s="20" t="str">
        <x:v>Click Dialog Task</x:v>
      </x:c>
      <x:c r="Q382" s="20" t="str">
        <x:v>RootWebArea 'Click Dialog Task', focused [17] dialog '', clickable, modal=False, describedby='dialog' StaticText '' [20] button 'Close', clickable [24] paragraph '' StaticText 'Lorem volutpat felis, eu in.' [27] button 'Cancel', clickable, focused [28] button 'OK', clickable</x:v>
      </x:c>
      <x:c r="R382" s="20" t="str">
        <x:v>file:///root/autodl-tmp/miniwob-plusplus/miniwob/html/miniwob/click-dialog-2.html</x:v>
      </x:c>
      <x:c r="S382" s="20" t="str">
        <x:v>Click Dialog Task</x:v>
      </x:c>
      <x:c r="T382" s="20" t="str">
        <x:v>RootWebArea 'Click Dialog Task', focused [17] dialog '', clickable, modal=False, describedby='dialog' StaticText '' [20] button 'Close', clickable [24] paragraph '' StaticText 'Lorem volutpat felis, eu in.' [27] button 'Cancel', clickable, focused [28] button 'OK', clickable</x:v>
      </x:c>
      <x:c r="U382" s="6" t="str">
        <x:v>0</x:v>
      </x:c>
      <x:c r="V382" s="6" t="str">
        <x:v>0</x:v>
      </x:c>
      <x:c r="W382" s="6" t="str">
        <x:v>0</x:v>
      </x:c>
      <x:c r="X382" s="6" t="str">
        <x:v>1</x:v>
      </x:c>
      <x:c r="Y382" s="6" t="str">
        <x:v>0</x:v>
      </x:c>
      <x:c r="Z382" s="6" t="str">
        <x:v>1</x:v>
      </x:c>
      <x:c r="AA382" s="6" t="str">
        <x:v>0.0</x:v>
      </x:c>
      <x:c r="AB382" s="20" t="str">
        <x:v>Codex证据复核v1：原始记录唯一匹配、环境实测、反事实配对ID完整、终止且非成功、奖励非正、队列标签与结果派生规则一致；非人工签字。</x:v>
      </x:c>
    </x:row>
    <x:row r="383" ht="46" customHeight="1">
      <x:c r="A383" s="6" t="str">
        <x:v>1</x:v>
      </x:c>
      <x:c r="B383" s="6" t="str">
        <x:v>1cf2690f985b51995fb1</x:v>
      </x:c>
      <x:c r="C383" s="6" t="str">
        <x:v>evidence_approved</x:v>
      </x:c>
      <x:c r="D383" s="6" t="str">
        <x:v>codex-evidence-review-v1</x:v>
      </x:c>
      <x:c r="E383" s="22" t="n">
        <x:v>46244.40206471065</x:v>
      </x:c>
      <x:c r="F383" s="6" t="str">
        <x:v>20</x:v>
      </x:c>
      <x:c r="G383" s="20" t="str">
        <x:v>observed_counterfactual;severe_failure;terminal</x:v>
      </x:c>
      <x:c r="H383" s="20" t="str">
        <x:v>browsergym/miniwob.enter-password</x:v>
      </x:c>
      <x:c r="I383" s="6" t="str">
        <x:v>browsergym/miniwob.enter-password</x:v>
      </x:c>
      <x:c r="J383" s="6" t="str">
        <x:v>cf-enter-password-seed1010-hard_wrong_target</x:v>
      </x:c>
      <x:c r="K383" s="6" t="str">
        <x:v>0</x:v>
      </x:c>
      <x:c r="L383" s="20" t="str">
        <x:v>Enter the password "f7py" into both text fields and press submit.</x:v>
      </x:c>
      <x:c r="M383" s="20" t="str">
        <x:v>click("20", "left")</x:v>
      </x:c>
      <x:c r="N383" s="6" t="str">
        <x:v>0.0</x:v>
      </x:c>
      <x:c r="O383" s="20" t="str">
        <x:v>file:///root/autodl-tmp/miniwob-plusplus/miniwob/html/miniwob/enter-password.html</x:v>
      </x:c>
      <x:c r="P383" s="20" t="str">
        <x:v>Enter Password Task</x:v>
      </x:c>
      <x:c r="Q383" s="20" t="str">
        <x:v>RootWebArea 'Enter Password Task', focused [14] paragraph '' [15] LabelText '' StaticText 'Password' [16] textbox '', clickable [17] paragraph '' [18] LabelText '' StaticText 'Verify password' [19] textbox '', clickable [20] button 'Submit', clickable</x:v>
      </x:c>
      <x:c r="R383" s="20" t="str">
        <x:v>file:///root/autodl-tmp/miniwob-plusplus/miniwob/html/miniwob/enter-password.html</x:v>
      </x:c>
      <x:c r="S383" s="20" t="str">
        <x:v>Enter Password Task</x:v>
      </x:c>
      <x:c r="T383" s="20" t="str">
        <x:v>RootWebArea 'Enter Password Task', focused [14] paragraph '' [15] LabelText '' StaticText 'Password' [16] textbox '', clickable [17] paragraph '' [18] LabelText '' StaticText 'Verify password' [19] textbox '', clickable [20] button 'Submit', clickable, focused</x:v>
      </x:c>
      <x:c r="U383" s="6" t="str">
        <x:v>0</x:v>
      </x:c>
      <x:c r="V383" s="6" t="str">
        <x:v>0</x:v>
      </x:c>
      <x:c r="W383" s="6" t="str">
        <x:v>0</x:v>
      </x:c>
      <x:c r="X383" s="6" t="str">
        <x:v>1</x:v>
      </x:c>
      <x:c r="Y383" s="6" t="str">
        <x:v>0</x:v>
      </x:c>
      <x:c r="Z383" s="6" t="str">
        <x:v>1</x:v>
      </x:c>
      <x:c r="AA383" s="6" t="str">
        <x:v>0.0</x:v>
      </x:c>
      <x:c r="AB383" s="20" t="str">
        <x:v>Codex证据复核v1：原始记录唯一匹配、环境实测、反事实配对ID完整、终止且非成功、奖励非正、队列标签与结果派生规则一致；非人工签字。</x:v>
      </x:c>
    </x:row>
    <x:row r="384" ht="46" customHeight="1">
      <x:c r="A384" s="6" t="str">
        <x:v>1</x:v>
      </x:c>
      <x:c r="B384" s="6" t="str">
        <x:v>ca178c744976321220b8</x:v>
      </x:c>
      <x:c r="C384" s="6" t="str">
        <x:v>evidence_approved</x:v>
      </x:c>
      <x:c r="D384" s="6" t="str">
        <x:v>codex-evidence-review-v1</x:v>
      </x:c>
      <x:c r="E384" s="22" t="n">
        <x:v>46244.40206471065</x:v>
      </x:c>
      <x:c r="F384" s="6" t="str">
        <x:v>20</x:v>
      </x:c>
      <x:c r="G384" s="20" t="str">
        <x:v>observed_counterfactual;severe_failure;terminal</x:v>
      </x:c>
      <x:c r="H384" s="20" t="str">
        <x:v>browsergym/miniwob.click-menu</x:v>
      </x:c>
      <x:c r="I384" s="6" t="str">
        <x:v>browsergym/miniwob.click-menu</x:v>
      </x:c>
      <x:c r="J384" s="6" t="str">
        <x:v>cf-click-menu-seed1020-missing_target</x:v>
      </x:c>
      <x:c r="K384" s="6" t="str">
        <x:v>0</x:v>
      </x:c>
      <x:c r="L384" s="20" t="str">
        <x:v>Select Evey&gt;Katerina</x:v>
      </x:c>
      <x:c r="M384" s="20" t="str">
        <x:v>click("33", "left")</x:v>
      </x:c>
      <x:c r="N384" s="6" t="str">
        <x:v>0.0</x:v>
      </x:c>
      <x:c r="O384" s="20" t="str">
        <x:v>file:///root/autodl-tmp/miniwob-plusplus/miniwob/html/miniwob/click-menu.html</x:v>
      </x:c>
      <x:c r="P384" s="20" t="str">
        <x:v>Click Menu Task</x:v>
      </x:c>
      <x:c r="Q384" s="20" t="str">
        <x:v>RootWebArea 'Click Menu Task', focused [17] menu '', clickable, orientation='vertical' image '' [19] menuitem 'Vanessa', hasPopup='menu' image '' [33] menuitem 'Evey', hasPopup='menu' image '' [61] menuitem 'Bonita'</x:v>
      </x:c>
      <x:c r="R384" s="20" t="str">
        <x:v>file:///root/autodl-tmp/miniwob-plusplus/miniwob/html/miniwob/click-menu.html</x:v>
      </x:c>
      <x:c r="S384" s="20" t="str">
        <x:v>Click Menu Task</x:v>
      </x:c>
      <x:c r="T384" s="20" t="str">
        <x:v>RootWebArea 'Click Menu Task', focused [17] menu '', clickable, orientation='vertical' image '' [19] menuitem 'Vanessa', hasPopup='menu' image '' [33] menuitem 'Evey', hasPopup='menu' [35] menu '', orientation='vertical' image '' [37] menuitem 'Flora', hasPopup='menu' image '' [45] menuitem 'Zea', hasPopup='menu' image '' [57] menuitem 'Shandy' image '' [59] menuitem 'Katerina' image '' [61] menuitem 'Bonita'</x:v>
      </x:c>
      <x:c r="U384" s="6" t="str">
        <x:v>0</x:v>
      </x:c>
      <x:c r="V384" s="6" t="str">
        <x:v>0</x:v>
      </x:c>
      <x:c r="W384" s="6" t="str">
        <x:v>0</x:v>
      </x:c>
      <x:c r="X384" s="6" t="str">
        <x:v>1</x:v>
      </x:c>
      <x:c r="Y384" s="6" t="str">
        <x:v>0</x:v>
      </x:c>
      <x:c r="Z384" s="6" t="str">
        <x:v>1</x:v>
      </x:c>
      <x:c r="AA384" s="6" t="str">
        <x:v>0.0</x:v>
      </x:c>
      <x:c r="AB384" s="20" t="str">
        <x:v>Codex证据复核v1：原始记录唯一匹配、环境实测、反事实配对ID完整、终止且非成功、奖励非正、队列标签与结果派生规则一致；非人工签字。</x:v>
      </x:c>
    </x:row>
    <x:row r="385" ht="46" customHeight="1">
      <x:c r="A385" s="6" t="str">
        <x:v>1</x:v>
      </x:c>
      <x:c r="B385" s="6" t="str">
        <x:v>3bbcee60d8ab7587df29</x:v>
      </x:c>
      <x:c r="C385" s="6" t="str">
        <x:v>evidence_approved</x:v>
      </x:c>
      <x:c r="D385" s="6" t="str">
        <x:v>codex-evidence-review-v1</x:v>
      </x:c>
      <x:c r="E385" s="22" t="n">
        <x:v>46244.40206471065</x:v>
      </x:c>
      <x:c r="F385" s="6" t="str">
        <x:v>20</x:v>
      </x:c>
      <x:c r="G385" s="20" t="str">
        <x:v>observed_counterfactual;severe_failure;terminal</x:v>
      </x:c>
      <x:c r="H385" s="20" t="str">
        <x:v>browsergym/miniwob.click-menu</x:v>
      </x:c>
      <x:c r="I385" s="6" t="str">
        <x:v>browsergym/miniwob.click-menu</x:v>
      </x:c>
      <x:c r="J385" s="6" t="str">
        <x:v>cf-click-menu-seed1019-hard_wrong_target</x:v>
      </x:c>
      <x:c r="K385" s="6" t="str">
        <x:v>0</x:v>
      </x:c>
      <x:c r="L385" s="20" t="str">
        <x:v>Select Caressa&gt;Coreen</x:v>
      </x:c>
      <x:c r="M385" s="20" t="str">
        <x:v>click("19", "left")</x:v>
      </x:c>
      <x:c r="N385" s="6" t="str">
        <x:v>0.0</x:v>
      </x:c>
      <x:c r="O385" s="20" t="str">
        <x:v>file:///root/autodl-tmp/miniwob-plusplus/miniwob/html/miniwob/click-menu.html</x:v>
      </x:c>
      <x:c r="P385" s="20" t="str">
        <x:v>Click Menu Task</x:v>
      </x:c>
      <x:c r="Q385" s="20" t="str">
        <x:v>RootWebArea 'Click Menu Task', focused [17] menu '', clickable, orientation='vertical' image '' [19] menuitem 'Kalila', hasPopup='menu' image '' [37] menuitem 'Caressa', hasPopup='menu'</x:v>
      </x:c>
      <x:c r="R385" s="20" t="str">
        <x:v>file:///root/autodl-tmp/miniwob-plusplus/miniwob/html/miniwob/click-menu.html</x:v>
      </x:c>
      <x:c r="S385" s="20" t="str">
        <x:v>Click Menu Task</x:v>
      </x:c>
      <x:c r="T385" s="20" t="str">
        <x:v>RootWebArea 'Click Menu Task', focused [17] menu '', clickable, orientation='vertical' image '' [19] menuitem 'Kalila', hasPopup='menu' [21] menu '', orientation='vertical' image '' [23] menuitem 'Rosita' image '' [25] menuitem 'Maurine', hasPopup='menu' image '' [35] menuitem 'Cornela' image '' [37] menuitem 'Caressa', hasPopup='menu'</x:v>
      </x:c>
      <x:c r="U385" s="6" t="str">
        <x:v>0</x:v>
      </x:c>
      <x:c r="V385" s="6" t="str">
        <x:v>0</x:v>
      </x:c>
      <x:c r="W385" s="6" t="str">
        <x:v>0</x:v>
      </x:c>
      <x:c r="X385" s="6" t="str">
        <x:v>1</x:v>
      </x:c>
      <x:c r="Y385" s="6" t="str">
        <x:v>0</x:v>
      </x:c>
      <x:c r="Z385" s="6" t="str">
        <x:v>1</x:v>
      </x:c>
      <x:c r="AA385" s="6" t="str">
        <x:v>0.0</x:v>
      </x:c>
      <x:c r="AB385" s="20" t="str">
        <x:v>Codex证据复核v1：原始记录唯一匹配、环境实测、反事实配对ID完整、终止且非成功、奖励非正、队列标签与结果派生规则一致；非人工签字。</x:v>
      </x:c>
    </x:row>
    <x:row r="386" ht="46" customHeight="1">
      <x:c r="A386" s="6" t="str">
        <x:v>1</x:v>
      </x:c>
      <x:c r="B386" s="6" t="str">
        <x:v>9eb534bc4a4c30a8bfc5</x:v>
      </x:c>
      <x:c r="C386" s="6" t="str">
        <x:v>evidence_approved</x:v>
      </x:c>
      <x:c r="D386" s="6" t="str">
        <x:v>codex-evidence-review-v1</x:v>
      </x:c>
      <x:c r="E386" s="22" t="n">
        <x:v>46244.40206471065</x:v>
      </x:c>
      <x:c r="F386" s="6" t="str">
        <x:v>20</x:v>
      </x:c>
      <x:c r="G386" s="20" t="str">
        <x:v>observed_counterfactual;severe_failure;terminal</x:v>
      </x:c>
      <x:c r="H386" s="20" t="str">
        <x:v>browsergym/miniwob.click-menu</x:v>
      </x:c>
      <x:c r="I386" s="6" t="str">
        <x:v>browsergym/miniwob.click-menu</x:v>
      </x:c>
      <x:c r="J386" s="6" t="str">
        <x:v>cf-click-menu-seed1008-hard_wrong_target</x:v>
      </x:c>
      <x:c r="K386" s="6" t="str">
        <x:v>0</x:v>
      </x:c>
      <x:c r="L386" s="20" t="str">
        <x:v>Select Jori&gt;Melony&gt;Aubrey</x:v>
      </x:c>
      <x:c r="M386" s="20" t="str">
        <x:v>click("49", "left")</x:v>
      </x:c>
      <x:c r="N386" s="6" t="str">
        <x:v>0.0</x:v>
      </x:c>
      <x:c r="O386" s="20" t="str">
        <x:v>file:///root/autodl-tmp/miniwob-plusplus/miniwob/html/miniwob/click-menu.html</x:v>
      </x:c>
      <x:c r="P386" s="20" t="str">
        <x:v>Click Menu Task</x:v>
      </x:c>
      <x:c r="Q386" s="20" t="str">
        <x:v>RootWebArea 'Click Menu Task', focused [17] menu '', clickable, orientation='vertical' image '' [19] menuitem 'Jori', hasPopup='menu' image '' [49] menuitem 'Ardisj' image '' [51] menuitem 'Sosanna' image '' [53] menuitem 'Priscella', hasPopup='menu'</x:v>
      </x:c>
      <x:c r="R386" s="20" t="str">
        <x:v>file:///root/autodl-tmp/miniwob-plusplus/miniwob/html/miniwob/click-menu.html</x:v>
      </x:c>
      <x:c r="S386" s="20" t="str">
        <x:v>Click Menu Task</x:v>
      </x:c>
      <x:c r="T386" s="20" t="str">
        <x:v>RootWebArea 'Click Menu Task', focused [17] menu '', clickable, orientation='vertical' image '' [19] menuitem 'Jori', hasPopup='menu' image '' [49] menuitem 'Ardisj' image '' [51] menuitem 'Sosanna' image '' [53] menuitem 'Priscella', hasPopup='menu'</x:v>
      </x:c>
      <x:c r="U386" s="6" t="str">
        <x:v>0</x:v>
      </x:c>
      <x:c r="V386" s="6" t="str">
        <x:v>0</x:v>
      </x:c>
      <x:c r="W386" s="6" t="str">
        <x:v>0</x:v>
      </x:c>
      <x:c r="X386" s="6" t="str">
        <x:v>1</x:v>
      </x:c>
      <x:c r="Y386" s="6" t="str">
        <x:v>0</x:v>
      </x:c>
      <x:c r="Z386" s="6" t="str">
        <x:v>1</x:v>
      </x:c>
      <x:c r="AA386" s="6" t="str">
        <x:v>0.0</x:v>
      </x:c>
      <x:c r="AB386" s="20" t="str">
        <x:v>Codex证据复核v1：原始记录唯一匹配、环境实测、反事实配对ID完整、终止且非成功、奖励非正、队列标签与结果派生规则一致；非人工签字。</x:v>
      </x:c>
    </x:row>
    <x:row r="387" ht="46" customHeight="1">
      <x:c r="A387" s="6" t="str">
        <x:v>1</x:v>
      </x:c>
      <x:c r="B387" s="6" t="str">
        <x:v>822bb5be75a43c3939c8</x:v>
      </x:c>
      <x:c r="C387" s="6" t="str">
        <x:v>evidence_approved</x:v>
      </x:c>
      <x:c r="D387" s="6" t="str">
        <x:v>codex-evidence-review-v1</x:v>
      </x:c>
      <x:c r="E387" s="22" t="n">
        <x:v>46244.40206471065</x:v>
      </x:c>
      <x:c r="F387" s="6" t="str">
        <x:v>20</x:v>
      </x:c>
      <x:c r="G387" s="20" t="str">
        <x:v>observed_counterfactual;severe_failure;terminal</x:v>
      </x:c>
      <x:c r="H387" s="20" t="str">
        <x:v>browsergym/miniwob.click-dialog-2</x:v>
      </x:c>
      <x:c r="I387" s="6" t="str">
        <x:v>browsergym/miniwob.click-dialog-2</x:v>
      </x:c>
      <x:c r="J387" s="6" t="str">
        <x:v>cf-click-dialog-2-seed1009-wrong_action_type</x:v>
      </x:c>
      <x:c r="K387" s="6" t="str">
        <x:v>0</x:v>
      </x:c>
      <x:c r="L387" s="20" t="str">
        <x:v>Click the button in the dialog box labeled "x".</x:v>
      </x:c>
      <x:c r="M387" s="20" t="str">
        <x:v>click("28", "left")</x:v>
      </x:c>
      <x:c r="N387" s="6" t="str">
        <x:v>0.0</x:v>
      </x:c>
      <x:c r="O387" s="20" t="str">
        <x:v>file:///root/autodl-tmp/miniwob-plusplus/miniwob/html/miniwob/click-dialog-2.html</x:v>
      </x:c>
      <x:c r="P387" s="20" t="str">
        <x:v>Click Dialog Task</x:v>
      </x:c>
      <x:c r="Q387" s="20" t="str">
        <x:v>RootWebArea 'Click Dialog Task', focused [17] dialog '', clickable, modal=False, describedby='dialog' StaticText '' [20] button 'Close', clickable [24] paragraph '' StaticText 'Urna. Sed. Sit pellentesque.' [27] button 'Cancel', clickable, focused [28] button 'OK', clickable</x:v>
      </x:c>
      <x:c r="R387" s="20" t="str">
        <x:v>file:///root/autodl-tmp/miniwob-plusplus/miniwob/html/miniwob/click-dialog-2.html</x:v>
      </x:c>
      <x:c r="S387" s="20" t="str">
        <x:v>Click Dialog Task</x:v>
      </x:c>
      <x:c r="T387" s="20" t="str">
        <x:v>RootWebArea 'Click Dialog Task', focused [17] dialog '', clickable, modal=False, describedby='dialog' StaticText '' [20] button 'Close', clickable [24] paragraph '' StaticText 'Urna. Sed. Sit pellentesque.' [27] button 'Cancel', clickable [28] button 'OK', clickable, focused</x:v>
      </x:c>
      <x:c r="U387" s="6" t="str">
        <x:v>0</x:v>
      </x:c>
      <x:c r="V387" s="6" t="str">
        <x:v>0</x:v>
      </x:c>
      <x:c r="W387" s="6" t="str">
        <x:v>0</x:v>
      </x:c>
      <x:c r="X387" s="6" t="str">
        <x:v>1</x:v>
      </x:c>
      <x:c r="Y387" s="6" t="str">
        <x:v>0</x:v>
      </x:c>
      <x:c r="Z387" s="6" t="str">
        <x:v>1</x:v>
      </x:c>
      <x:c r="AA387" s="6" t="str">
        <x:v>0.0</x:v>
      </x:c>
      <x:c r="AB387" s="20" t="str">
        <x:v>Codex证据复核v1：原始记录唯一匹配、环境实测、反事实配对ID完整、终止且非成功、奖励非正、队列标签与结果派生规则一致；非人工签字。</x:v>
      </x:c>
    </x:row>
    <x:row r="388" ht="46" customHeight="1">
      <x:c r="A388" s="6" t="str">
        <x:v>1</x:v>
      </x:c>
      <x:c r="B388" s="6" t="str">
        <x:v>ee926355f4e379937129</x:v>
      </x:c>
      <x:c r="C388" s="6" t="str">
        <x:v>evidence_approved</x:v>
      </x:c>
      <x:c r="D388" s="6" t="str">
        <x:v>codex-evidence-review-v1</x:v>
      </x:c>
      <x:c r="E388" s="22" t="n">
        <x:v>46244.40206471065</x:v>
      </x:c>
      <x:c r="F388" s="6" t="str">
        <x:v>20</x:v>
      </x:c>
      <x:c r="G388" s="20" t="str">
        <x:v>observed_counterfactual;severe_failure;terminal</x:v>
      </x:c>
      <x:c r="H388" s="20" t="str">
        <x:v>browsergym/miniwob.click-collapsible</x:v>
      </x:c>
      <x:c r="I388" s="6" t="str">
        <x:v>browsergym/miniwob.click-collapsible</x:v>
      </x:c>
      <x:c r="J388" s="6" t="str">
        <x:v>cf-click-collapsible-seed1005-hard_wrong_target</x:v>
      </x:c>
      <x:c r="K388" s="6" t="str">
        <x:v>0</x:v>
      </x:c>
      <x:c r="L388" s="20" t="str">
        <x:v>Expand the section below and click submit.</x:v>
      </x:c>
      <x:c r="M388" s="20" t="str">
        <x:v>click("22", "left")</x:v>
      </x:c>
      <x:c r="N388" s="6" t="str">
        <x:v>0.0</x:v>
      </x:c>
      <x:c r="O388" s="20" t="str">
        <x:v>file:///root/autodl-tmp/miniwob-plusplus/miniwob/html/miniwob/click-collapsible.html</x:v>
      </x:c>
      <x:c r="P388" s="20" t="str">
        <x:v>Click Collapsible Task</x:v>
      </x:c>
      <x:c r="Q388" s="20" t="str">
        <x:v>RootWebArea 'Click Collapsible Task', focused [15] tablist '', multiselectable=False, orientation='horizontal' [16] tab 'Section #26', clickable, expanded=False, selected=False, controls='ui-id-2' [19] tab 'Submit', clickable, expanded=False, selected=False [22] button 'Submit', clickable</x:v>
      </x:c>
      <x:c r="R388" s="20" t="str">
        <x:v>file:///root/autodl-tmp/miniwob-plusplus/miniwob/html/miniwob/click-collapsible.html</x:v>
      </x:c>
      <x:c r="S388" s="20" t="str">
        <x:v>Click Collapsible Task</x:v>
      </x:c>
      <x:c r="T388" s="20" t="str">
        <x:v>RootWebArea 'Click Collapsible Task', focused [15] tablist '', multiselectable=False, orientation='horizontal' [16] tab 'Section #26', clickable, expanded=False, selected=False, controls='ui-id-2' [19] tab 'Submit', clickable, expanded=False, selected=False [22] button 'Submit', clickable, focused</x:v>
      </x:c>
      <x:c r="U388" s="6" t="str">
        <x:v>0</x:v>
      </x:c>
      <x:c r="V388" s="6" t="str">
        <x:v>0</x:v>
      </x:c>
      <x:c r="W388" s="6" t="str">
        <x:v>0</x:v>
      </x:c>
      <x:c r="X388" s="6" t="str">
        <x:v>1</x:v>
      </x:c>
      <x:c r="Y388" s="6" t="str">
        <x:v>0</x:v>
      </x:c>
      <x:c r="Z388" s="6" t="str">
        <x:v>1</x:v>
      </x:c>
      <x:c r="AA388" s="6" t="str">
        <x:v>0.0</x:v>
      </x:c>
      <x:c r="AB388" s="20" t="str">
        <x:v>Codex证据复核v1：原始记录唯一匹配、环境实测、反事实配对ID完整、终止且非成功、奖励非正、队列标签与结果派生规则一致；非人工签字。</x:v>
      </x:c>
    </x:row>
    <x:row r="389" ht="46" customHeight="1">
      <x:c r="A389" s="6" t="str">
        <x:v>1</x:v>
      </x:c>
      <x:c r="B389" s="6" t="str">
        <x:v>1487d79a4e43586d6426</x:v>
      </x:c>
      <x:c r="C389" s="6" t="str">
        <x:v>evidence_approved</x:v>
      </x:c>
      <x:c r="D389" s="6" t="str">
        <x:v>codex-evidence-review-v1</x:v>
      </x:c>
      <x:c r="E389" s="22" t="n">
        <x:v>46244.40206471065</x:v>
      </x:c>
      <x:c r="F389" s="6" t="str">
        <x:v>20</x:v>
      </x:c>
      <x:c r="G389" s="20" t="str">
        <x:v>observed_counterfactual;severe_failure;terminal</x:v>
      </x:c>
      <x:c r="H389" s="20" t="str">
        <x:v>browsergym/miniwob.enter-text-dynamic</x:v>
      </x:c>
      <x:c r="I389" s="6" t="str">
        <x:v>browsergym/miniwob.enter-text-dynamic</x:v>
      </x:c>
      <x:c r="J389" s="6" t="str">
        <x:v>cf-enter-text-dynamic-seed1014-hard_wrong_target</x:v>
      </x:c>
      <x:c r="K389" s="6" t="str">
        <x:v>0</x:v>
      </x:c>
      <x:c r="L389" s="20" t="str">
        <x:v>Enter "6" into the text field and press Submit.</x:v>
      </x:c>
      <x:c r="M389" s="20" t="str">
        <x:v>click("15", "left")</x:v>
      </x:c>
      <x:c r="N389" s="6" t="str">
        <x:v>0.0</x:v>
      </x:c>
      <x:c r="O389" s="20" t="str">
        <x:v>file:///root/autodl-tmp/miniwob-plusplus/miniwob/html/miniwob/enter-text-dynamic.html</x:v>
      </x:c>
      <x:c r="P389" s="20" t="str">
        <x:v>Enter Dynamic Text Task</x:v>
      </x:c>
      <x:c r="Q389" s="20" t="str">
        <x:v>RootWebArea 'Enter Dynamic Text Task', focused [14] textbox '', clickable [15] button 'Submit', clickable</x:v>
      </x:c>
      <x:c r="R389" s="20" t="str">
        <x:v>file:///root/autodl-tmp/miniwob-plusplus/miniwob/html/miniwob/enter-text-dynamic.html</x:v>
      </x:c>
      <x:c r="S389" s="20" t="str">
        <x:v>Enter Dynamic Text Task</x:v>
      </x:c>
      <x:c r="T389" s="20" t="str">
        <x:v>RootWebArea 'Enter Dynamic Text Task', focused [14] textbox '', clickable [15] button 'Submit', clickable, focused</x:v>
      </x:c>
      <x:c r="U389" s="6" t="str">
        <x:v>0</x:v>
      </x:c>
      <x:c r="V389" s="6" t="str">
        <x:v>0</x:v>
      </x:c>
      <x:c r="W389" s="6" t="str">
        <x:v>0</x:v>
      </x:c>
      <x:c r="X389" s="6" t="str">
        <x:v>1</x:v>
      </x:c>
      <x:c r="Y389" s="6" t="str">
        <x:v>0</x:v>
      </x:c>
      <x:c r="Z389" s="6" t="str">
        <x:v>1</x:v>
      </x:c>
      <x:c r="AA389" s="6" t="str">
        <x:v>0.0</x:v>
      </x:c>
      <x:c r="AB389" s="20" t="str">
        <x:v>Codex证据复核v1：原始记录唯一匹配、环境实测、反事实配对ID完整、终止且非成功、奖励非正、队列标签与结果派生规则一致；非人工签字。</x:v>
      </x:c>
    </x:row>
    <x:row r="390" ht="46" customHeight="1">
      <x:c r="A390" s="6" t="str">
        <x:v>1</x:v>
      </x:c>
      <x:c r="B390" s="6" t="str">
        <x:v>214d8d9bdb7df303fd77</x:v>
      </x:c>
      <x:c r="C390" s="6" t="str">
        <x:v>evidence_approved</x:v>
      </x:c>
      <x:c r="D390" s="6" t="str">
        <x:v>codex-evidence-review-v1</x:v>
      </x:c>
      <x:c r="E390" s="22" t="n">
        <x:v>46244.40206471065</x:v>
      </x:c>
      <x:c r="F390" s="6" t="str">
        <x:v>20</x:v>
      </x:c>
      <x:c r="G390" s="20" t="str">
        <x:v>observed_counterfactual;severe_failure;terminal</x:v>
      </x:c>
      <x:c r="H390" s="20" t="str">
        <x:v>browsergym/miniwob.enter-text-2</x:v>
      </x:c>
      <x:c r="I390" s="6" t="str">
        <x:v>browsergym/miniwob.enter-text-2</x:v>
      </x:c>
      <x:c r="J390" s="6" t="str">
        <x:v>cf-enter-text-2-seed1003-hard_wrong_target</x:v>
      </x:c>
      <x:c r="K390" s="6" t="str">
        <x:v>0</x:v>
      </x:c>
      <x:c r="L390" s="20" t="str">
        <x:v>Type "livia" in all upper case letters in the text input and press Submit.</x:v>
      </x:c>
      <x:c r="M390" s="20" t="str">
        <x:v>click("15", "left")</x:v>
      </x:c>
      <x:c r="N390" s="6" t="str">
        <x:v>0.0</x:v>
      </x:c>
      <x:c r="O390" s="20" t="str">
        <x:v>file:///root/autodl-tmp/miniwob-plusplus/miniwob/html/miniwob/enter-text-2.html</x:v>
      </x:c>
      <x:c r="P390" s="20" t="str">
        <x:v>Enter Text Task</x:v>
      </x:c>
      <x:c r="Q390" s="20" t="str">
        <x:v>RootWebArea 'Enter Text Task', focused [14] textbox '', clickable [15] button 'Submit', clickable</x:v>
      </x:c>
      <x:c r="R390" s="20" t="str">
        <x:v>file:///root/autodl-tmp/miniwob-plusplus/miniwob/html/miniwob/enter-text-2.html</x:v>
      </x:c>
      <x:c r="S390" s="20" t="str">
        <x:v>Enter Text Task</x:v>
      </x:c>
      <x:c r="T390" s="20" t="str">
        <x:v>RootWebArea 'Enter Text Task', focused [14] textbox '', clickable [15] button 'Submit', clickable, focused</x:v>
      </x:c>
      <x:c r="U390" s="6" t="str">
        <x:v>0</x:v>
      </x:c>
      <x:c r="V390" s="6" t="str">
        <x:v>0</x:v>
      </x:c>
      <x:c r="W390" s="6" t="str">
        <x:v>0</x:v>
      </x:c>
      <x:c r="X390" s="6" t="str">
        <x:v>1</x:v>
      </x:c>
      <x:c r="Y390" s="6" t="str">
        <x:v>0</x:v>
      </x:c>
      <x:c r="Z390" s="6" t="str">
        <x:v>1</x:v>
      </x:c>
      <x:c r="AA390" s="6" t="str">
        <x:v>0.0</x:v>
      </x:c>
      <x:c r="AB390" s="20" t="str">
        <x:v>Codex证据复核v1：原始记录唯一匹配、环境实测、反事实配对ID完整、终止且非成功、奖励非正、队列标签与结果派生规则一致；非人工签字。</x:v>
      </x:c>
    </x:row>
    <x:row r="391" ht="46" customHeight="1">
      <x:c r="A391" s="6" t="str">
        <x:v>1</x:v>
      </x:c>
      <x:c r="B391" s="6" t="str">
        <x:v>342161d8e38da4f1a4b3</x:v>
      </x:c>
      <x:c r="C391" s="6" t="str">
        <x:v>evidence_approved</x:v>
      </x:c>
      <x:c r="D391" s="6" t="str">
        <x:v>codex-evidence-review-v1</x:v>
      </x:c>
      <x:c r="E391" s="22" t="n">
        <x:v>46244.40206471065</x:v>
      </x:c>
      <x:c r="F391" s="6" t="str">
        <x:v>20</x:v>
      </x:c>
      <x:c r="G391" s="20" t="str">
        <x:v>observed_counterfactual;severe_failure;terminal</x:v>
      </x:c>
      <x:c r="H391" s="20" t="str">
        <x:v>browsergym/miniwob.click-checkboxes-soft</x:v>
      </x:c>
      <x:c r="I391" s="6" t="str">
        <x:v>browsergym/miniwob.click-checkboxes-soft</x:v>
      </x:c>
      <x:c r="J391" s="6" t="str">
        <x:v>cf-click-checkboxes-soft-seed1039-wrong_action_type</x:v>
      </x:c>
      <x:c r="K391" s="6" t="str">
        <x:v>0</x:v>
      </x:c>
      <x:c r="L391" s="20" t="str">
        <x:v>Select words similar to hate, fat, laughable, unusual, initiate and click Submit.</x:v>
      </x:c>
      <x:c r="M391" s="20" t="str">
        <x:v>click("36", "left")</x:v>
      </x:c>
      <x:c r="N391" s="6" t="str">
        <x:v>0.0</x:v>
      </x:c>
      <x:c r="O391" s="20" t="str">
        <x:v>file:///root/autodl-tmp/miniwob-plusplus/miniwob/html/miniwob/click-checkboxes-soft.html</x:v>
      </x:c>
      <x:c r="P391" s="20" t="str">
        <x:v>Click Checkboxes Task</x:v>
      </x:c>
      <x:c r="Q391" s="20" t="str">
        <x:v>RootWebArea 'Click Checkboxes Task', focused [17] LabelText '', clickable [18] checkbox 'launch', clickable, checked='false' StaticText 'launch' [20] LabelText '', clickable [21] checkbox 'odd', clickable, checked='false' StaticText 'odd' [23] LabelText '', clickable [24] checkbox 'loathe', clickable, checked='false' StaticText 'loathe' [26] LabelText '', clickable [27] checkbox 'answer', clickable, checked='false' StaticText 'answer' [29] LabelText '', clickable [30] checkbox 'comical', clickable, checked='false' StaticText 'comical' [32] LabelText '', clickable [33] checkbox 'fleshy', clickable, checked='false' StaticText 'fleshy' [36] button 'Submit', clickable</x:v>
      </x:c>
      <x:c r="R391" s="20" t="str">
        <x:v>file:///root/autodl-tmp/miniwob-plusplus/miniwob/html/miniwob/click-checkboxes-soft.html</x:v>
      </x:c>
      <x:c r="S391" s="20" t="str">
        <x:v>Click Checkboxes Task</x:v>
      </x:c>
      <x:c r="T391" s="20" t="str">
        <x:v>RootWebArea 'Click Checkboxes Task', focused [17] LabelText '', clickable [18] checkbox 'launch', clickable, checked='false' StaticText 'launch' [20] LabelText '', clickable [21] checkbox 'odd', clickable, checked='false' StaticText 'odd' [23] LabelText '', clickable [24] checkbox 'loathe', clickable, checked='false' StaticText 'loathe' [26] LabelText '', clickable [27] checkbox 'answer', clickable, checked='false' StaticText 'answer' [29] LabelText '', clickable [30] checkbox 'comical', clickable, checked='false' StaticText 'comical' [32] LabelText '', clickable [33] checkbox 'fleshy', clickable, checked='false' StaticText 'fleshy' [36] button 'Submit', clickable, focused</x:v>
      </x:c>
      <x:c r="U391" s="6" t="str">
        <x:v>0</x:v>
      </x:c>
      <x:c r="V391" s="6" t="str">
        <x:v>0</x:v>
      </x:c>
      <x:c r="W391" s="6" t="str">
        <x:v>0</x:v>
      </x:c>
      <x:c r="X391" s="6" t="str">
        <x:v>1</x:v>
      </x:c>
      <x:c r="Y391" s="6" t="str">
        <x:v>0</x:v>
      </x:c>
      <x:c r="Z391" s="6" t="str">
        <x:v>1</x:v>
      </x:c>
      <x:c r="AA391" s="6" t="str">
        <x:v>0.0</x:v>
      </x:c>
      <x:c r="AB391" s="20" t="str">
        <x:v>Codex证据复核v1：原始记录唯一匹配、环境实测、反事实配对ID完整、终止且非成功、奖励非正、队列标签与结果派生规则一致；非人工签字。</x:v>
      </x:c>
    </x:row>
    <x:row r="392" ht="46" customHeight="1">
      <x:c r="A392" s="6" t="str">
        <x:v>1</x:v>
      </x:c>
      <x:c r="B392" s="6" t="str">
        <x:v>8bb6af198fa45f3f5416</x:v>
      </x:c>
      <x:c r="C392" s="6" t="str">
        <x:v>evidence_approved</x:v>
      </x:c>
      <x:c r="D392" s="6" t="str">
        <x:v>codex-evidence-review-v1</x:v>
      </x:c>
      <x:c r="E392" s="22" t="n">
        <x:v>46244.40206471065</x:v>
      </x:c>
      <x:c r="F392" s="6" t="str">
        <x:v>20</x:v>
      </x:c>
      <x:c r="G392" s="20" t="str">
        <x:v>observed_counterfactual;severe_failure;terminal</x:v>
      </x:c>
      <x:c r="H392" s="20" t="str">
        <x:v>browsergym/miniwob.enter-text</x:v>
      </x:c>
      <x:c r="I392" s="6" t="str">
        <x:v>browsergym/miniwob.enter-text</x:v>
      </x:c>
      <x:c r="J392" s="6" t="str">
        <x:v>cf-enter-text-seed1002-hard_wrong_target</x:v>
      </x:c>
      <x:c r="K392" s="6" t="str">
        <x:v>0</x:v>
      </x:c>
      <x:c r="L392" s="20" t="str">
        <x:v>Enter "Annis" into the text field and press Submit.</x:v>
      </x:c>
      <x:c r="M392" s="20" t="str">
        <x:v>click("15", "left")</x:v>
      </x:c>
      <x:c r="N392" s="6" t="str">
        <x:v>0.0</x:v>
      </x:c>
      <x:c r="O392" s="20" t="str">
        <x:v>file:///root/autodl-tmp/miniwob-plusplus/miniwob/html/miniwob/enter-text.html</x:v>
      </x:c>
      <x:c r="P392" s="20" t="str">
        <x:v>Enter Text Task</x:v>
      </x:c>
      <x:c r="Q392" s="20" t="str">
        <x:v>RootWebArea 'Enter Text Task', focused [14] textbox '', clickable [15] button 'Submit', clickable</x:v>
      </x:c>
      <x:c r="R392" s="20" t="str">
        <x:v>file:///root/autodl-tmp/miniwob-plusplus/miniwob/html/miniwob/enter-text.html</x:v>
      </x:c>
      <x:c r="S392" s="20" t="str">
        <x:v>Enter Text Task</x:v>
      </x:c>
      <x:c r="T392" s="20" t="str">
        <x:v>RootWebArea 'Enter Text Task', focused [14] textbox '', clickable [15] button 'Submit', clickable, focused</x:v>
      </x:c>
      <x:c r="U392" s="6" t="str">
        <x:v>0</x:v>
      </x:c>
      <x:c r="V392" s="6" t="str">
        <x:v>0</x:v>
      </x:c>
      <x:c r="W392" s="6" t="str">
        <x:v>0</x:v>
      </x:c>
      <x:c r="X392" s="6" t="str">
        <x:v>1</x:v>
      </x:c>
      <x:c r="Y392" s="6" t="str">
        <x:v>0</x:v>
      </x:c>
      <x:c r="Z392" s="6" t="str">
        <x:v>1</x:v>
      </x:c>
      <x:c r="AA392" s="6" t="str">
        <x:v>0.0</x:v>
      </x:c>
      <x:c r="AB392" s="20" t="str">
        <x:v>Codex证据复核v1：原始记录唯一匹配、环境实测、反事实配对ID完整、终止且非成功、奖励非正、队列标签与结果派生规则一致；非人工签字。</x:v>
      </x:c>
    </x:row>
    <x:row r="393" ht="46" customHeight="1">
      <x:c r="A393" s="6" t="str">
        <x:v>1</x:v>
      </x:c>
      <x:c r="B393" s="6" t="str">
        <x:v>6dedd195613c8f20cccd</x:v>
      </x:c>
      <x:c r="C393" s="6" t="str">
        <x:v>evidence_approved</x:v>
      </x:c>
      <x:c r="D393" s="6" t="str">
        <x:v>codex-evidence-review-v1</x:v>
      </x:c>
      <x:c r="E393" s="22" t="n">
        <x:v>46244.40206471065</x:v>
      </x:c>
      <x:c r="F393" s="6" t="str">
        <x:v>20</x:v>
      </x:c>
      <x:c r="G393" s="20" t="str">
        <x:v>observed_counterfactual;severe_failure;terminal</x:v>
      </x:c>
      <x:c r="H393" s="20" t="str">
        <x:v>browsergym/miniwob.enter-text</x:v>
      </x:c>
      <x:c r="I393" s="6" t="str">
        <x:v>browsergym/miniwob.enter-text</x:v>
      </x:c>
      <x:c r="J393" s="6" t="str">
        <x:v>cf-enter-text-seed1013-hard_wrong_target</x:v>
      </x:c>
      <x:c r="K393" s="6" t="str">
        <x:v>0</x:v>
      </x:c>
      <x:c r="L393" s="20" t="str">
        <x:v>Enter "Beaulah" into the text field and press Submit.</x:v>
      </x:c>
      <x:c r="M393" s="20" t="str">
        <x:v>click("15", "left")</x:v>
      </x:c>
      <x:c r="N393" s="6" t="str">
        <x:v>0.0</x:v>
      </x:c>
      <x:c r="O393" s="20" t="str">
        <x:v>file:///root/autodl-tmp/miniwob-plusplus/miniwob/html/miniwob/enter-text.html</x:v>
      </x:c>
      <x:c r="P393" s="20" t="str">
        <x:v>Enter Text Task</x:v>
      </x:c>
      <x:c r="Q393" s="20" t="str">
        <x:v>RootWebArea 'Enter Text Task', focused [14] textbox '', clickable [15] button 'Submit', clickable</x:v>
      </x:c>
      <x:c r="R393" s="20" t="str">
        <x:v>file:///root/autodl-tmp/miniwob-plusplus/miniwob/html/miniwob/enter-text.html</x:v>
      </x:c>
      <x:c r="S393" s="20" t="str">
        <x:v>Enter Text Task</x:v>
      </x:c>
      <x:c r="T393" s="20" t="str">
        <x:v>RootWebArea 'Enter Text Task', focused [14] textbox '', clickable [15] button 'Submit', clickable, focused</x:v>
      </x:c>
      <x:c r="U393" s="6" t="str">
        <x:v>0</x:v>
      </x:c>
      <x:c r="V393" s="6" t="str">
        <x:v>0</x:v>
      </x:c>
      <x:c r="W393" s="6" t="str">
        <x:v>0</x:v>
      </x:c>
      <x:c r="X393" s="6" t="str">
        <x:v>1</x:v>
      </x:c>
      <x:c r="Y393" s="6" t="str">
        <x:v>0</x:v>
      </x:c>
      <x:c r="Z393" s="6" t="str">
        <x:v>1</x:v>
      </x:c>
      <x:c r="AA393" s="6" t="str">
        <x:v>0.0</x:v>
      </x:c>
      <x:c r="AB393" s="20" t="str">
        <x:v>Codex证据复核v1：原始记录唯一匹配、环境实测、反事实配对ID完整、终止且非成功、奖励非正、队列标签与结果派生规则一致；非人工签字。</x:v>
      </x:c>
    </x:row>
    <x:row r="394" ht="46" customHeight="1">
      <x:c r="A394" s="6" t="str">
        <x:v>1</x:v>
      </x:c>
      <x:c r="B394" s="6" t="str">
        <x:v>c8166d4275cb6a1aa42a</x:v>
      </x:c>
      <x:c r="C394" s="6" t="str">
        <x:v>evidence_approved</x:v>
      </x:c>
      <x:c r="D394" s="6" t="str">
        <x:v>codex-evidence-review-v1</x:v>
      </x:c>
      <x:c r="E394" s="22" t="n">
        <x:v>46244.40206471065</x:v>
      </x:c>
      <x:c r="F394" s="6" t="str">
        <x:v>20</x:v>
      </x:c>
      <x:c r="G394" s="20" t="str">
        <x:v>observed_counterfactual;severe_failure;terminal</x:v>
      </x:c>
      <x:c r="H394" s="20" t="str">
        <x:v>browsergym/miniwob.click-menu</x:v>
      </x:c>
      <x:c r="I394" s="6" t="str">
        <x:v>browsergym/miniwob.click-menu</x:v>
      </x:c>
      <x:c r="J394" s="6" t="str">
        <x:v>cf-click-menu-seed1026-missing_target</x:v>
      </x:c>
      <x:c r="K394" s="6" t="str">
        <x:v>0</x:v>
      </x:c>
      <x:c r="L394" s="20" t="str">
        <x:v>Select Edy&gt;Bertine&gt;Elianore</x:v>
      </x:c>
      <x:c r="M394" s="20" t="str">
        <x:v>click("21", "left")</x:v>
      </x:c>
      <x:c r="N394" s="6" t="str">
        <x:v>0.0</x:v>
      </x:c>
      <x:c r="O394" s="20" t="str">
        <x:v>file:///root/autodl-tmp/miniwob-plusplus/miniwob/html/miniwob/click-menu.html</x:v>
      </x:c>
      <x:c r="P394" s="20" t="str">
        <x:v>Click Menu Task</x:v>
      </x:c>
      <x:c r="Q394" s="20" t="str">
        <x:v>RootWebArea 'Click Menu Task', focused [17] menu '', clickable, orientation='vertical' image '' [19] menuitem 'Ethel' image '' [21] menuitem 'Edy', hasPopup='menu'</x:v>
      </x:c>
      <x:c r="R394" s="20" t="str">
        <x:v>file:///root/autodl-tmp/miniwob-plusplus/miniwob/html/miniwob/click-menu.html</x:v>
      </x:c>
      <x:c r="S394" s="20" t="str">
        <x:v>Click Menu Task</x:v>
      </x:c>
      <x:c r="T394" s="20" t="str">
        <x:v>RootWebArea 'Click Menu Task', focused [17] menu '', clickable, orientation='vertical' image '' [19] menuitem 'Ethel' image '' [21] menuitem 'Edy', hasPopup='menu' [23] menu '', orientation='vertical' image '' [25] menuitem 'Bertine', hasPopup='menu' image '' [37] menuitem 'Gus' image '' [39] menuitem 'Denise' image '' [41] menuitem 'Marsiella'</x:v>
      </x:c>
      <x:c r="U394" s="6" t="str">
        <x:v>0</x:v>
      </x:c>
      <x:c r="V394" s="6" t="str">
        <x:v>0</x:v>
      </x:c>
      <x:c r="W394" s="6" t="str">
        <x:v>0</x:v>
      </x:c>
      <x:c r="X394" s="6" t="str">
        <x:v>1</x:v>
      </x:c>
      <x:c r="Y394" s="6" t="str">
        <x:v>0</x:v>
      </x:c>
      <x:c r="Z394" s="6" t="str">
        <x:v>1</x:v>
      </x:c>
      <x:c r="AA394" s="6" t="str">
        <x:v>0.0</x:v>
      </x:c>
      <x:c r="AB394" s="20" t="str">
        <x:v>Codex证据复核v1：原始记录唯一匹配、环境实测、反事实配对ID完整、终止且非成功、奖励非正、队列标签与结果派生规则一致；非人工签字。</x:v>
      </x:c>
    </x:row>
    <x:row r="395" ht="46" customHeight="1">
      <x:c r="A395" s="6" t="str">
        <x:v>1</x:v>
      </x:c>
      <x:c r="B395" s="6" t="str">
        <x:v>d915bfcc4065d4cbd5cc</x:v>
      </x:c>
      <x:c r="C395" s="6" t="str">
        <x:v>evidence_approved</x:v>
      </x:c>
      <x:c r="D395" s="6" t="str">
        <x:v>codex-evidence-review-v1</x:v>
      </x:c>
      <x:c r="E395" s="22" t="n">
        <x:v>46244.40206471065</x:v>
      </x:c>
      <x:c r="F395" s="6" t="str">
        <x:v>20</x:v>
      </x:c>
      <x:c r="G395" s="20" t="str">
        <x:v>observed_counterfactual;severe_failure;terminal</x:v>
      </x:c>
      <x:c r="H395" s="20" t="str">
        <x:v>browsergym/miniwob.enter-password</x:v>
      </x:c>
      <x:c r="I395" s="6" t="str">
        <x:v>browsergym/miniwob.enter-password</x:v>
      </x:c>
      <x:c r="J395" s="6" t="str">
        <x:v>cf-enter-password-seed1028-hard_wrong_target</x:v>
      </x:c>
      <x:c r="K395" s="6" t="str">
        <x:v>0</x:v>
      </x:c>
      <x:c r="L395" s="20" t="str">
        <x:v>Enter the password "46N6" into both text fields and press submit.</x:v>
      </x:c>
      <x:c r="M395" s="20" t="str">
        <x:v>click("20", "left")</x:v>
      </x:c>
      <x:c r="N395" s="6" t="str">
        <x:v>0.0</x:v>
      </x:c>
      <x:c r="O395" s="20" t="str">
        <x:v>file:///root/autodl-tmp/miniwob-plusplus/miniwob/html/miniwob/enter-password.html</x:v>
      </x:c>
      <x:c r="P395" s="20" t="str">
        <x:v>Enter Password Task</x:v>
      </x:c>
      <x:c r="Q395" s="20" t="str">
        <x:v>RootWebArea 'Enter Password Task', focused [14] paragraph '' [15] LabelText '' StaticText 'Password' [16] textbox '', clickable [17] paragraph '' [18] LabelText '' StaticText 'Verify password' [19] textbox '', clickable [20] button 'Submit', clickable</x:v>
      </x:c>
      <x:c r="R395" s="20" t="str">
        <x:v>file:///root/autodl-tmp/miniwob-plusplus/miniwob/html/miniwob/enter-password.html</x:v>
      </x:c>
      <x:c r="S395" s="20" t="str">
        <x:v>Enter Password Task</x:v>
      </x:c>
      <x:c r="T395" s="20" t="str">
        <x:v>RootWebArea 'Enter Password Task', focused [14] paragraph '' [15] LabelText '' StaticText 'Password' [16] textbox '', clickable [17] paragraph '' [18] LabelText '' StaticText 'Verify password' [19] textbox '', clickable [20] button 'Submit', clickable, focused</x:v>
      </x:c>
      <x:c r="U395" s="6" t="str">
        <x:v>0</x:v>
      </x:c>
      <x:c r="V395" s="6" t="str">
        <x:v>0</x:v>
      </x:c>
      <x:c r="W395" s="6" t="str">
        <x:v>0</x:v>
      </x:c>
      <x:c r="X395" s="6" t="str">
        <x:v>1</x:v>
      </x:c>
      <x:c r="Y395" s="6" t="str">
        <x:v>0</x:v>
      </x:c>
      <x:c r="Z395" s="6" t="str">
        <x:v>1</x:v>
      </x:c>
      <x:c r="AA395" s="6" t="str">
        <x:v>0.0</x:v>
      </x:c>
      <x:c r="AB395" s="20" t="str">
        <x:v>Codex证据复核v1：原始记录唯一匹配、环境实测、反事实配对ID完整、终止且非成功、奖励非正、队列标签与结果派生规则一致；非人工签字。</x:v>
      </x:c>
    </x:row>
    <x:row r="396" ht="46" customHeight="1">
      <x:c r="A396" s="6" t="str">
        <x:v>1</x:v>
      </x:c>
      <x:c r="B396" s="6" t="str">
        <x:v>17a88f1b84140b09e7e9</x:v>
      </x:c>
      <x:c r="C396" s="6" t="str">
        <x:v>evidence_approved</x:v>
      </x:c>
      <x:c r="D396" s="6" t="str">
        <x:v>codex-evidence-review-v1</x:v>
      </x:c>
      <x:c r="E396" s="22" t="n">
        <x:v>46244.40206471065</x:v>
      </x:c>
      <x:c r="F396" s="6" t="str">
        <x:v>20</x:v>
      </x:c>
      <x:c r="G396" s="20" t="str">
        <x:v>observed_counterfactual;severe_failure;terminal</x:v>
      </x:c>
      <x:c r="H396" s="20" t="str">
        <x:v>browsergym/miniwob.click-widget</x:v>
      </x:c>
      <x:c r="I396" s="6" t="str">
        <x:v>browsergym/miniwob.click-widget</x:v>
      </x:c>
      <x:c r="J396" s="6" t="str">
        <x:v>cf-click-widget-seed1001-hard_wrong_target</x:v>
      </x:c>
      <x:c r="K396" s="6" t="str">
        <x:v>0</x:v>
      </x:c>
      <x:c r="L396" s="20" t="str">
        <x:v>Click on a "textarea" widget.</x:v>
      </x:c>
      <x:c r="M396" s="20" t="str">
        <x:v>click("24", "left")</x:v>
      </x:c>
      <x:c r="N396" s="6" t="str">
        <x:v>0.0</x:v>
      </x:c>
      <x:c r="O396" s="20" t="str">
        <x:v>file:///root/autodl-tmp/miniwob-plusplus/miniwob/html/miniwob/click-widget.html</x:v>
      </x:c>
      <x:c r="P396" s="20" t="str">
        <x:v>Click Widget Task</x:v>
      </x:c>
      <x:c r="Q396" s="20" t="str">
        <x:v>RootWebArea 'Click Widget Task', focused [14] button 'vlg' [16] textbox '' value='3XCH' StaticText '3XCH' [18] textbox '' value='4P' StaticText '4P' [20] LabelText '', clickable [21] checkbox 'm', clickable, checked='false' StaticText 'm' [23] LabelText '', clickable [24] radio 'z5', clickable, checked='false' StaticText 'z5'</x:v>
      </x:c>
      <x:c r="R396" s="20" t="str">
        <x:v>file:///root/autodl-tmp/miniwob-plusplus/miniwob/html/miniwob/click-widget.html</x:v>
      </x:c>
      <x:c r="S396" s="20" t="str">
        <x:v>Click Widget Task</x:v>
      </x:c>
      <x:c r="T396" s="20" t="str">
        <x:v>RootWebArea 'Click Widget Task', focused [14] button 'vlg' [16] textbox '' value='3XCH' StaticText '3XCH' [18] textbox '' value='4P' StaticText '4P' [20] LabelText '', clickable [21] checkbox 'm', clickable, checked='false' StaticText 'm' [23] LabelText '', clickable [24] radio 'z5', clickable, focused, checked='true' StaticText 'z5'</x:v>
      </x:c>
      <x:c r="U396" s="6" t="str">
        <x:v>0</x:v>
      </x:c>
      <x:c r="V396" s="6" t="str">
        <x:v>0</x:v>
      </x:c>
      <x:c r="W396" s="6" t="str">
        <x:v>0</x:v>
      </x:c>
      <x:c r="X396" s="6" t="str">
        <x:v>1</x:v>
      </x:c>
      <x:c r="Y396" s="6" t="str">
        <x:v>0</x:v>
      </x:c>
      <x:c r="Z396" s="6" t="str">
        <x:v>1</x:v>
      </x:c>
      <x:c r="AA396" s="6" t="str">
        <x:v>0.0</x:v>
      </x:c>
      <x:c r="AB396" s="20" t="str">
        <x:v>Codex证据复核v1：原始记录唯一匹配、环境实测、反事实配对ID完整、终止且非成功、奖励非正、队列标签与结果派生规则一致；非人工签字。</x:v>
      </x:c>
    </x:row>
    <x:row r="397" ht="46" customHeight="1">
      <x:c r="A397" s="6" t="str">
        <x:v>1</x:v>
      </x:c>
      <x:c r="B397" s="6" t="str">
        <x:v>28cb0e5f2a30bc9bb4e7</x:v>
      </x:c>
      <x:c r="C397" s="6" t="str">
        <x:v>evidence_approved</x:v>
      </x:c>
      <x:c r="D397" s="6" t="str">
        <x:v>codex-evidence-review-v1</x:v>
      </x:c>
      <x:c r="E397" s="22" t="n">
        <x:v>46244.40206471065</x:v>
      </x:c>
      <x:c r="F397" s="6" t="str">
        <x:v>20</x:v>
      </x:c>
      <x:c r="G397" s="20" t="str">
        <x:v>observed_counterfactual;severe_failure;terminal</x:v>
      </x:c>
      <x:c r="H397" s="20" t="str">
        <x:v>browsergym/miniwob.click-button</x:v>
      </x:c>
      <x:c r="I397" s="6" t="str">
        <x:v>browsergym/miniwob.click-button</x:v>
      </x:c>
      <x:c r="J397" s="6" t="str">
        <x:v>cf-click-button-seed1014-hard_wrong_target</x:v>
      </x:c>
      <x:c r="K397" s="6" t="str">
        <x:v>0</x:v>
      </x:c>
      <x:c r="L397" s="20" t="str">
        <x:v>Click on the "submit" button.</x:v>
      </x:c>
      <x:c r="M397" s="20" t="str">
        <x:v>click("12", "left")</x:v>
      </x:c>
      <x:c r="N397" s="6" t="str">
        <x:v>0.0</x:v>
      </x:c>
      <x:c r="O397" s="20" t="str">
        <x:v>file:///root/autodl-tmp/miniwob-plusplus/miniwob/html/miniwob/click-button.html</x:v>
      </x:c>
      <x:c r="P397" s="20" t="str">
        <x:v>Click Button Task</x:v>
      </x:c>
      <x:c r="Q397" s="20" t="str">
        <x:v>RootWebArea 'Click Button Task', focused [12] button 'Next', clickable [14] button 'submit', clickable [16] button 'submit', clickable [18] textbox '', clickable StaticText 'sit habitant id' StaticText 'feugiat leo neque:' [22] textbox '', clickable</x:v>
      </x:c>
      <x:c r="R397" s="20" t="str">
        <x:v>file:///root/autodl-tmp/miniwob-plusplus/miniwob/html/miniwob/click-button.html</x:v>
      </x:c>
      <x:c r="S397" s="20" t="str">
        <x:v>Click Button Task</x:v>
      </x:c>
      <x:c r="T397" s="20" t="str">
        <x:v>RootWebArea 'Click Button Task', focused [12] button 'Next', clickable, focused [14] button 'submit', clickable [16] button 'submit', clickable [18] textbox '', clickable StaticText 'sit habitant id' StaticText 'feugiat leo neque:' [22] textbox '', clickable</x:v>
      </x:c>
      <x:c r="U397" s="6" t="str">
        <x:v>0</x:v>
      </x:c>
      <x:c r="V397" s="6" t="str">
        <x:v>0</x:v>
      </x:c>
      <x:c r="W397" s="6" t="str">
        <x:v>0</x:v>
      </x:c>
      <x:c r="X397" s="6" t="str">
        <x:v>1</x:v>
      </x:c>
      <x:c r="Y397" s="6" t="str">
        <x:v>0</x:v>
      </x:c>
      <x:c r="Z397" s="6" t="str">
        <x:v>1</x:v>
      </x:c>
      <x:c r="AA397" s="6" t="str">
        <x:v>0.0</x:v>
      </x:c>
      <x:c r="AB397" s="20" t="str">
        <x:v>Codex证据复核v1：原始记录唯一匹配、环境实测、反事实配对ID完整、终止且非成功、奖励非正、队列标签与结果派生规则一致；非人工签字。</x:v>
      </x:c>
    </x:row>
    <x:row r="398" ht="46" customHeight="1">
      <x:c r="A398" s="6" t="str">
        <x:v>1</x:v>
      </x:c>
      <x:c r="B398" s="6" t="str">
        <x:v>e2018309a2c74e666cbb</x:v>
      </x:c>
      <x:c r="C398" s="6" t="str">
        <x:v>evidence_approved</x:v>
      </x:c>
      <x:c r="D398" s="6" t="str">
        <x:v>codex-evidence-review-v1</x:v>
      </x:c>
      <x:c r="E398" s="22" t="n">
        <x:v>46244.40206471065</x:v>
      </x:c>
      <x:c r="F398" s="6" t="str">
        <x:v>20</x:v>
      </x:c>
      <x:c r="G398" s="20" t="str">
        <x:v>observed_counterfactual;severe_failure;terminal</x:v>
      </x:c>
      <x:c r="H398" s="20" t="str">
        <x:v>browsergym/miniwob.click-checkboxes-soft</x:v>
      </x:c>
      <x:c r="I398" s="6" t="str">
        <x:v>browsergym/miniwob.click-checkboxes-soft</x:v>
      </x:c>
      <x:c r="J398" s="6" t="str">
        <x:v>cf-click-checkboxes-soft-seed1012-wrong_action_type</x:v>
      </x:c>
      <x:c r="K398" s="6" t="str">
        <x:v>0</x:v>
      </x:c>
      <x:c r="L398" s="20" t="str">
        <x:v>Select words similar to afraid, vermillion and click Submit.</x:v>
      </x:c>
      <x:c r="M398" s="20" t="str">
        <x:v>click("27", "left")</x:v>
      </x:c>
      <x:c r="N398" s="6" t="str">
        <x:v>0.0</x:v>
      </x:c>
      <x:c r="O398" s="20" t="str">
        <x:v>file:///root/autodl-tmp/miniwob-plusplus/miniwob/html/miniwob/click-checkboxes-soft.html</x:v>
      </x:c>
      <x:c r="P398" s="20" t="str">
        <x:v>Click Checkboxes Task</x:v>
      </x:c>
      <x:c r="Q398" s="20" t="str">
        <x:v>RootWebArea 'Click Checkboxes Task', focused [17] LabelText '', clickable [18] checkbox 'panicked', clickable, checked='false' StaticText 'panicked' [20] LabelText '', clickable [21] checkbox 'scarlet', clickable, checked='false' StaticText 'scarlet' [23] LabelText '', clickable [24] checkbox 'flames', clickable, checked='false' StaticText 'flames' [27] button 'Submit', clickable</x:v>
      </x:c>
      <x:c r="R398" s="20" t="str">
        <x:v>file:///root/autodl-tmp/miniwob-plusplus/miniwob/html/miniwob/click-checkboxes-soft.html</x:v>
      </x:c>
      <x:c r="S398" s="20" t="str">
        <x:v>Click Checkboxes Task</x:v>
      </x:c>
      <x:c r="T398" s="20" t="str">
        <x:v>RootWebArea 'Click Checkboxes Task', focused [17] LabelText '', clickable [18] checkbox 'panicked', clickable, checked='false' StaticText 'panicked' [20] LabelText '', clickable [21] checkbox 'scarlet', clickable, checked='false' StaticText 'scarlet' [23] LabelText '', clickable [24] checkbox 'flames', clickable, checked='false' StaticText 'flames' [27] button 'Submit', clickable, focused</x:v>
      </x:c>
      <x:c r="U398" s="6" t="str">
        <x:v>0</x:v>
      </x:c>
      <x:c r="V398" s="6" t="str">
        <x:v>0</x:v>
      </x:c>
      <x:c r="W398" s="6" t="str">
        <x:v>0</x:v>
      </x:c>
      <x:c r="X398" s="6" t="str">
        <x:v>1</x:v>
      </x:c>
      <x:c r="Y398" s="6" t="str">
        <x:v>0</x:v>
      </x:c>
      <x:c r="Z398" s="6" t="str">
        <x:v>1</x:v>
      </x:c>
      <x:c r="AA398" s="6" t="str">
        <x:v>0.0</x:v>
      </x:c>
      <x:c r="AB398" s="20" t="str">
        <x:v>Codex证据复核v1：原始记录唯一匹配、环境实测、反事实配对ID完整、终止且非成功、奖励非正、队列标签与结果派生规则一致；非人工签字。</x:v>
      </x:c>
    </x:row>
    <x:row r="399" ht="46" customHeight="1">
      <x:c r="A399" s="6" t="str">
        <x:v>1</x:v>
      </x:c>
      <x:c r="B399" s="6" t="str">
        <x:v>610e74c3c9b84b15b318</x:v>
      </x:c>
      <x:c r="C399" s="6" t="str">
        <x:v>evidence_approved</x:v>
      </x:c>
      <x:c r="D399" s="6" t="str">
        <x:v>codex-evidence-review-v1</x:v>
      </x:c>
      <x:c r="E399" s="22" t="n">
        <x:v>46244.40206471065</x:v>
      </x:c>
      <x:c r="F399" s="6" t="str">
        <x:v>20</x:v>
      </x:c>
      <x:c r="G399" s="20" t="str">
        <x:v>observed_counterfactual;severe_failure;terminal</x:v>
      </x:c>
      <x:c r="H399" s="20" t="str">
        <x:v>browsergym/miniwob.click-widget</x:v>
      </x:c>
      <x:c r="I399" s="6" t="str">
        <x:v>browsergym/miniwob.click-widget</x:v>
      </x:c>
      <x:c r="J399" s="6" t="str">
        <x:v>cf-click-widget-seed1025-hard_wrong_target</x:v>
      </x:c>
      <x:c r="K399" s="6" t="str">
        <x:v>0</x:v>
      </x:c>
      <x:c r="L399" s="20" t="str">
        <x:v>Click on a "checkbox" widget.</x:v>
      </x:c>
      <x:c r="M399" s="20" t="str">
        <x:v>click("24", "left")</x:v>
      </x:c>
      <x:c r="N399" s="6" t="str">
        <x:v>0.0</x:v>
      </x:c>
      <x:c r="O399" s="20" t="str">
        <x:v>file:///root/autodl-tmp/miniwob-plusplus/miniwob/html/miniwob/click-widget.html</x:v>
      </x:c>
      <x:c r="P399" s="20" t="str">
        <x:v>Click Widget Task</x:v>
      </x:c>
      <x:c r="Q399" s="20" t="str">
        <x:v>RootWebArea 'Click Widget Task', focused [14] textbox '' value='z' StaticText 'z' [16] textbox '' value='hS' StaticText 'hS' [18] LabelText '', clickable [19] checkbox 'xB', clickable, checked='false' StaticText 'xB' [21] button 'z' [23] LabelText '', clickable [24] radio 'pK', clickable, checked='false' StaticText 'pK'</x:v>
      </x:c>
      <x:c r="R399" s="20" t="str">
        <x:v>file:///root/autodl-tmp/miniwob-plusplus/miniwob/html/miniwob/click-widget.html</x:v>
      </x:c>
      <x:c r="S399" s="20" t="str">
        <x:v>Click Widget Task</x:v>
      </x:c>
      <x:c r="T399" s="20" t="str">
        <x:v>RootWebArea 'Click Widget Task', focused [14] textbox '' value='z' StaticText 'z' [16] textbox '' value='hS' StaticText 'hS' [18] LabelText '', clickable [19] checkbox 'xB', clickable, checked='false' StaticText 'xB' [21] button 'z' [23] LabelText '', clickable [24] radio 'pK', clickable, focused, checked='true' StaticText 'pK'</x:v>
      </x:c>
      <x:c r="U399" s="6" t="str">
        <x:v>0</x:v>
      </x:c>
      <x:c r="V399" s="6" t="str">
        <x:v>0</x:v>
      </x:c>
      <x:c r="W399" s="6" t="str">
        <x:v>0</x:v>
      </x:c>
      <x:c r="X399" s="6" t="str">
        <x:v>1</x:v>
      </x:c>
      <x:c r="Y399" s="6" t="str">
        <x:v>0</x:v>
      </x:c>
      <x:c r="Z399" s="6" t="str">
        <x:v>1</x:v>
      </x:c>
      <x:c r="AA399" s="6" t="str">
        <x:v>0.0</x:v>
      </x:c>
      <x:c r="AB399" s="20" t="str">
        <x:v>Codex证据复核v1：原始记录唯一匹配、环境实测、反事实配对ID完整、终止且非成功、奖励非正、队列标签与结果派生规则一致；非人工签字。</x:v>
      </x:c>
    </x:row>
    <x:row r="400" ht="46" customHeight="1">
      <x:c r="A400" s="6" t="str">
        <x:v>1</x:v>
      </x:c>
      <x:c r="B400" s="6" t="str">
        <x:v>5e92f79e4be2f72e4eb4</x:v>
      </x:c>
      <x:c r="C400" s="6" t="str">
        <x:v>evidence_approved</x:v>
      </x:c>
      <x:c r="D400" s="6" t="str">
        <x:v>codex-evidence-review-v1</x:v>
      </x:c>
      <x:c r="E400" s="22" t="n">
        <x:v>46244.40206471065</x:v>
      </x:c>
      <x:c r="F400" s="6" t="str">
        <x:v>20</x:v>
      </x:c>
      <x:c r="G400" s="20" t="str">
        <x:v>observed_counterfactual;severe_failure;terminal</x:v>
      </x:c>
      <x:c r="H400" s="20" t="str">
        <x:v>browsergym/miniwob.scroll-text</x:v>
      </x:c>
      <x:c r="I400" s="6" t="str">
        <x:v>browsergym/miniwob.scroll-text</x:v>
      </x:c>
      <x:c r="J400" s="6" t="str">
        <x:v>cf-scroll-text-seed1000-hard_wrong_target</x:v>
      </x:c>
      <x:c r="K400" s="6" t="str">
        <x:v>0</x:v>
      </x:c>
      <x:c r="L400" s="20" t="str">
        <x:v>Find the last word in the text area, enter it into the text field and hit Submit.</x:v>
      </x:c>
      <x:c r="M400" s="20" t="str">
        <x:v>click("15", "left")</x:v>
      </x:c>
      <x:c r="N400" s="6" t="str">
        <x:v>0.0</x:v>
      </x:c>
      <x:c r="O400" s="20" t="str">
        <x:v>file:///root/autodl-tmp/miniwob-plusplus/miniwob/html/miniwob/scroll-text.html</x:v>
      </x:c>
      <x:c r="P400" s="20" t="str">
        <x:v>Scroll Text Task</x:v>
      </x:c>
      <x:c r="Q400" s="20" t="str">
        <x:v>RootWebArea 'Scroll Text Task', focused [13] textbox '' value='Lectus interdum bibendum nibh nec, pellentesque. In lobortis arcu, nec eleifend in. Ultrices aliquam. Vivamus pellentesque pharetra massa, cursus sit amet.' StaticText 'Lectus interdum bibendum nibh nec, pellentesque. In lobortis arcu, nec eleifend in. Ultrices aliquam. Vivamus pellentesque pharetra massa, cursus sit amet.' [14] textbox '', clickable [15] button 'Submit', clickable</x:v>
      </x:c>
      <x:c r="R400" s="20" t="str">
        <x:v>file:///root/autodl-tmp/miniwob-plusplus/miniwob/html/miniwob/scroll-text.html</x:v>
      </x:c>
      <x:c r="S400" s="20" t="str">
        <x:v>Scroll Text Task</x:v>
      </x:c>
      <x:c r="T400" s="20" t="str">
        <x:v>RootWebArea 'Scroll Text Task', focused [13] textbox '' value='Lectus interdum bibendum nibh nec, pellentesque. In lobortis arcu, nec eleifend in. Ultrices aliquam. Vivamus pellentesque pharetra massa, cursus sit amet.' StaticText 'Lectus interdum bibendum nibh nec, pellentesque. In lobortis arcu, nec eleifend in. Ultrices aliquam. Vivamus pellentesque pharetra massa, cursus sit amet.' [14] textbox '', clickable [15] button 'Submit', clickable, focused</x:v>
      </x:c>
      <x:c r="U400" s="6" t="str">
        <x:v>0</x:v>
      </x:c>
      <x:c r="V400" s="6" t="str">
        <x:v>0</x:v>
      </x:c>
      <x:c r="W400" s="6" t="str">
        <x:v>0</x:v>
      </x:c>
      <x:c r="X400" s="6" t="str">
        <x:v>1</x:v>
      </x:c>
      <x:c r="Y400" s="6" t="str">
        <x:v>0</x:v>
      </x:c>
      <x:c r="Z400" s="6" t="str">
        <x:v>1</x:v>
      </x:c>
      <x:c r="AA400" s="6" t="str">
        <x:v>0.0</x:v>
      </x:c>
      <x:c r="AB400" s="20" t="str">
        <x:v>Codex证据复核v1：原始记录唯一匹配、环境实测、反事实配对ID完整、终止且非成功、奖励非正、队列标签与结果派生规则一致；非人工签字。</x:v>
      </x:c>
    </x:row>
    <x:row r="401" ht="46" customHeight="1">
      <x:c r="A401" s="6" t="str">
        <x:v>1</x:v>
      </x:c>
      <x:c r="B401" s="6" t="str">
        <x:v>4e5532da59b0780a3b26</x:v>
      </x:c>
      <x:c r="C401" s="6" t="str">
        <x:v>evidence_approved</x:v>
      </x:c>
      <x:c r="D401" s="6" t="str">
        <x:v>codex-evidence-review-v1</x:v>
      </x:c>
      <x:c r="E401" s="22" t="n">
        <x:v>46244.40206471065</x:v>
      </x:c>
      <x:c r="F401" s="6" t="str">
        <x:v>20</x:v>
      </x:c>
      <x:c r="G401" s="20" t="str">
        <x:v>observed_counterfactual;severe_failure;terminal</x:v>
      </x:c>
      <x:c r="H401" s="20" t="str">
        <x:v>browsergym/miniwob.enter-text</x:v>
      </x:c>
      <x:c r="I401" s="6" t="str">
        <x:v>browsergym/miniwob.enter-text</x:v>
      </x:c>
      <x:c r="J401" s="6" t="str">
        <x:v>cf-enter-text-seed1029-hard_wrong_target</x:v>
      </x:c>
      <x:c r="K401" s="6" t="str">
        <x:v>0</x:v>
      </x:c>
      <x:c r="L401" s="20" t="str">
        <x:v>Enter "Jess" into the text field and press Submit.</x:v>
      </x:c>
      <x:c r="M401" s="20" t="str">
        <x:v>click("15", "left")</x:v>
      </x:c>
      <x:c r="N401" s="6" t="str">
        <x:v>0.0</x:v>
      </x:c>
      <x:c r="O401" s="20" t="str">
        <x:v>file:///root/autodl-tmp/miniwob-plusplus/miniwob/html/miniwob/enter-text.html</x:v>
      </x:c>
      <x:c r="P401" s="20" t="str">
        <x:v>Enter Text Task</x:v>
      </x:c>
      <x:c r="Q401" s="20" t="str">
        <x:v>RootWebArea 'Enter Text Task', focused [14] textbox '', clickable [15] button 'Submit', clickable</x:v>
      </x:c>
      <x:c r="R401" s="20" t="str">
        <x:v>file:///root/autodl-tmp/miniwob-plusplus/miniwob/html/miniwob/enter-text.html</x:v>
      </x:c>
      <x:c r="S401" s="20" t="str">
        <x:v>Enter Text Task</x:v>
      </x:c>
      <x:c r="T401" s="20" t="str">
        <x:v>RootWebArea 'Enter Text Task', focused [14] textbox '', clickable [15] button 'Submit', clickable, focused</x:v>
      </x:c>
      <x:c r="U401" s="6" t="str">
        <x:v>0</x:v>
      </x:c>
      <x:c r="V401" s="6" t="str">
        <x:v>0</x:v>
      </x:c>
      <x:c r="W401" s="6" t="str">
        <x:v>0</x:v>
      </x:c>
      <x:c r="X401" s="6" t="str">
        <x:v>1</x:v>
      </x:c>
      <x:c r="Y401" s="6" t="str">
        <x:v>0</x:v>
      </x:c>
      <x:c r="Z401" s="6" t="str">
        <x:v>1</x:v>
      </x:c>
      <x:c r="AA401" s="6" t="str">
        <x:v>0.0</x:v>
      </x:c>
      <x:c r="AB401" s="20" t="str">
        <x:v>Codex证据复核v1：原始记录唯一匹配、环境实测、反事实配对ID完整、终止且非成功、奖励非正、队列标签与结果派生规则一致；非人工签字。</x:v>
      </x:c>
    </x:row>
    <x:row r="402" ht="46" customHeight="1">
      <x:c r="A402" s="6" t="str">
        <x:v>1</x:v>
      </x:c>
      <x:c r="B402" s="6" t="str">
        <x:v>f4a01559060b7916a33b</x:v>
      </x:c>
      <x:c r="C402" s="6" t="str">
        <x:v>evidence_approved</x:v>
      </x:c>
      <x:c r="D402" s="6" t="str">
        <x:v>codex-evidence-review-v1</x:v>
      </x:c>
      <x:c r="E402" s="22" t="n">
        <x:v>46244.40206471065</x:v>
      </x:c>
      <x:c r="F402" s="6" t="str">
        <x:v>20</x:v>
      </x:c>
      <x:c r="G402" s="20" t="str">
        <x:v>observed_counterfactual;severe_failure;terminal</x:v>
      </x:c>
      <x:c r="H402" s="20" t="str">
        <x:v>browsergym/miniwob.click-menu</x:v>
      </x:c>
      <x:c r="I402" s="6" t="str">
        <x:v>browsergym/miniwob.click-menu</x:v>
      </x:c>
      <x:c r="J402" s="6" t="str">
        <x:v>cf-click-menu-seed1017-hard_wrong_target</x:v>
      </x:c>
      <x:c r="K402" s="6" t="str">
        <x:v>0</x:v>
      </x:c>
      <x:c r="L402" s="20" t="str">
        <x:v>Select Lida&gt;Bobbette&gt;Matilda</x:v>
      </x:c>
      <x:c r="M402" s="20" t="str">
        <x:v>click("19", "left")</x:v>
      </x:c>
      <x:c r="N402" s="6" t="str">
        <x:v>0.0</x:v>
      </x:c>
      <x:c r="O402" s="20" t="str">
        <x:v>file:///root/autodl-tmp/miniwob-plusplus/miniwob/html/miniwob/click-menu.html</x:v>
      </x:c>
      <x:c r="P402" s="20" t="str">
        <x:v>Click Menu Task</x:v>
      </x:c>
      <x:c r="Q402" s="20" t="str">
        <x:v>RootWebArea 'Click Menu Task', focused [17] menu '', clickable, orientation='vertical' image '' [19] menuitem 'Dodie' image '' [21] menuitem 'Lida', hasPopup='menu'</x:v>
      </x:c>
      <x:c r="R402" s="20" t="str">
        <x:v>file:///root/autodl-tmp/miniwob-plusplus/miniwob/html/miniwob/click-menu.html</x:v>
      </x:c>
      <x:c r="S402" s="20" t="str">
        <x:v>Click Menu Task</x:v>
      </x:c>
      <x:c r="T402" s="20" t="str">
        <x:v>RootWebArea 'Click Menu Task', focused [17] menu '', clickable, orientation='vertical' image '' [19] menuitem 'Dodie' image '' [21] menuitem 'Lida', hasPopup='menu'</x:v>
      </x:c>
      <x:c r="U402" s="6" t="str">
        <x:v>0</x:v>
      </x:c>
      <x:c r="V402" s="6" t="str">
        <x:v>0</x:v>
      </x:c>
      <x:c r="W402" s="6" t="str">
        <x:v>0</x:v>
      </x:c>
      <x:c r="X402" s="6" t="str">
        <x:v>1</x:v>
      </x:c>
      <x:c r="Y402" s="6" t="str">
        <x:v>0</x:v>
      </x:c>
      <x:c r="Z402" s="6" t="str">
        <x:v>1</x:v>
      </x:c>
      <x:c r="AA402" s="6" t="str">
        <x:v>0.0</x:v>
      </x:c>
      <x:c r="AB402" s="20" t="str">
        <x:v>Codex证据复核v1：原始记录唯一匹配、环境实测、反事实配对ID完整、终止且非成功、奖励非正、队列标签与结果派生规则一致；非人工签字。</x:v>
      </x:c>
    </x:row>
    <x:row r="403" ht="46" customHeight="1">
      <x:c r="A403" s="6" t="str">
        <x:v>1</x:v>
      </x:c>
      <x:c r="B403" s="6" t="str">
        <x:v>ba9521dbc08cfcec85c1</x:v>
      </x:c>
      <x:c r="C403" s="6" t="str">
        <x:v>evidence_approved</x:v>
      </x:c>
      <x:c r="D403" s="6" t="str">
        <x:v>codex-evidence-review-v1</x:v>
      </x:c>
      <x:c r="E403" s="22" t="n">
        <x:v>46244.40206471065</x:v>
      </x:c>
      <x:c r="F403" s="6" t="str">
        <x:v>20</x:v>
      </x:c>
      <x:c r="G403" s="20" t="str">
        <x:v>observed_counterfactual;severe_failure;terminal</x:v>
      </x:c>
      <x:c r="H403" s="20" t="str">
        <x:v>browsergym/miniwob.click-test-2</x:v>
      </x:c>
      <x:c r="I403" s="6" t="str">
        <x:v>browsergym/miniwob.click-test-2</x:v>
      </x:c>
      <x:c r="J403" s="6" t="str">
        <x:v>cf-click-test-2-seed1026-hard_wrong_target</x:v>
      </x:c>
      <x:c r="K403" s="6" t="str">
        <x:v>0</x:v>
      </x:c>
      <x:c r="L403" s="20" t="str">
        <x:v>Click button ONE.</x:v>
      </x:c>
      <x:c r="M403" s="20" t="str">
        <x:v>click("14", "left")</x:v>
      </x:c>
      <x:c r="N403" s="6" t="str">
        <x:v>0.0</x:v>
      </x:c>
      <x:c r="O403" s="20" t="str">
        <x:v>file:///root/autodl-tmp/miniwob-plusplus/miniwob/html/miniwob/click-test-2.html</x:v>
      </x:c>
      <x:c r="P403" s="20" t="str">
        <x:v>Click Test Task</x:v>
      </x:c>
      <x:c r="Q403" s="20" t="str">
        <x:v>RootWebArea 'Click Test Task', focused [13] button 'ONE', clickable [14] button 'TWO', clickable</x:v>
      </x:c>
      <x:c r="R403" s="20" t="str">
        <x:v>file:///root/autodl-tmp/miniwob-plusplus/miniwob/html/miniwob/click-test-2.html</x:v>
      </x:c>
      <x:c r="S403" s="20" t="str">
        <x:v>Click Test Task</x:v>
      </x:c>
      <x:c r="T403" s="20" t="str">
        <x:v>RootWebArea 'Click Test Task', focused [13] button 'ONE', clickable [14] button 'TWO', clickable, focused</x:v>
      </x:c>
      <x:c r="U403" s="6" t="str">
        <x:v>0</x:v>
      </x:c>
      <x:c r="V403" s="6" t="str">
        <x:v>0</x:v>
      </x:c>
      <x:c r="W403" s="6" t="str">
        <x:v>0</x:v>
      </x:c>
      <x:c r="X403" s="6" t="str">
        <x:v>1</x:v>
      </x:c>
      <x:c r="Y403" s="6" t="str">
        <x:v>0</x:v>
      </x:c>
      <x:c r="Z403" s="6" t="str">
        <x:v>1</x:v>
      </x:c>
      <x:c r="AA403" s="6" t="str">
        <x:v>0.0</x:v>
      </x:c>
      <x:c r="AB403" s="20" t="str">
        <x:v>Codex证据复核v1：原始记录唯一匹配、环境实测、反事实配对ID完整、终止且非成功、奖励非正、队列标签与结果派生规则一致；非人工签字。</x:v>
      </x:c>
    </x:row>
    <x:row r="404" ht="46" customHeight="1">
      <x:c r="A404" s="6" t="str">
        <x:v>1</x:v>
      </x:c>
      <x:c r="B404" s="6" t="str">
        <x:v>d2b40ad9173b58ed826a</x:v>
      </x:c>
      <x:c r="C404" s="6" t="str">
        <x:v>evidence_approved</x:v>
      </x:c>
      <x:c r="D404" s="6" t="str">
        <x:v>codex-evidence-review-v1</x:v>
      </x:c>
      <x:c r="E404" s="22" t="n">
        <x:v>46244.40206471065</x:v>
      </x:c>
      <x:c r="F404" s="6" t="str">
        <x:v>20</x:v>
      </x:c>
      <x:c r="G404" s="20" t="str">
        <x:v>observed_counterfactual;severe_failure;terminal</x:v>
      </x:c>
      <x:c r="H404" s="20" t="str">
        <x:v>browsergym/miniwob.sign-agreement</x:v>
      </x:c>
      <x:c r="I404" s="6" t="str">
        <x:v>browsergym/miniwob.sign-agreement</x:v>
      </x:c>
      <x:c r="J404" s="6" t="str">
        <x:v>cf-sign-agreement-seed1027-hard_wrong_target</x:v>
      </x:c>
      <x:c r="K404" s="6" t="str">
        <x:v>0</x:v>
      </x:c>
      <x:c r="L404" s="20" t="str">
        <x:v>Scroll to the bottom of the textarea, enter the name "Beaulah" then press "Agree"</x:v>
      </x:c>
      <x:c r="M404" s="20" t="str">
        <x:v>click("17", "left")</x:v>
      </x:c>
      <x:c r="N404" s="6" t="str">
        <x:v>0.0</x:v>
      </x:c>
      <x:c r="O404" s="20" t="str">
        <x:v>file:///root/autodl-tmp/miniwob-plusplus/miniwob/html/miniwob/sign-agreement.html</x:v>
      </x:c>
      <x:c r="P404" s="20" t="str">
        <x:v>Sign Agreement Task</x:v>
      </x:c>
      <x:c r="Q404" s="20" t="str">
        <x:v>RootWebArea 'Sign Agreement Task', focused [14] heading 'User agreement' [15] textbox '' value='Sit. Vestibulum pellentesque leo sed. Sit. Nisl facilisis ut leo et fames est augue. Nisl et amet elementum nibh elementum mauris. Sed urna, tincidunt tellus blandit neque, egestas scelerisque ut pulvinar sed habitant leo. Faucibus sollicitudin mi leo vitae donec justo,. Blandit. Morbi eget turpis ut. Molestie senectus. Aliquet in mauris iaculis id metus. Tellus, platea tellus nibh est, nunc viverra ut venenatis, eleifend sed. Et, nisl interdum ut tellus sit viverra. Orci vel. Scelerisque. Semper. Ac lectus tempor suspendisse. Nisi. Tristique imperdiet sagittis in sed… StaticText 'Sit. Vestibulum pellentesque leo sed. Sit. Nisl facilisis ut leo et fames est augue. Nisl et amet elementum nibh elementum mauris. Sed urna, tincidunt tellus blandit neque, egestas scelerisque ut pulvinar sed habita…</x:v>
      </x:c>
      <x:c r="R404" s="20" t="str">
        <x:v>file:///root/autodl-tmp/miniwob-plusplus/miniwob/html/miniwob/sign-agreement.html</x:v>
      </x:c>
      <x:c r="S404" s="20" t="str">
        <x:v>Sign Agreement Task</x:v>
      </x:c>
      <x:c r="T404" s="20" t="str">
        <x:v>RootWebArea 'Sign Agreement Task', focused [14] heading 'User agreement' [15] textbox '' value='Sit. Vestibulum pellentesque leo sed. Sit. Nisl facilisis ut leo et fames est augue. Nisl et amet elementum nibh elementum mauris. Sed urna, tincidunt tellus blandit neque, egestas scelerisque ut pulvinar sed habitant leo. Faucibus sollicitudin mi leo vitae donec justo,. Blandit. Morbi eget turpis ut. Molestie senectus. Aliquet in mauris iaculis id metus. Tellus, platea tellus nibh est, nunc viverra ut venenatis, eleifend sed. Et, nisl interdum ut tellus sit viverra. Orci vel. Scelerisque. Semper. Ac lectus tempor suspendisse. Nisi. Tristique imperdiet sagittis in sed… StaticText 'Sit. Vestibulum pellentesque leo sed. Sit. Nisl facilisis ut leo et fames est augue. Nisl et amet elementum nibh elementum mauris. Sed urna, tincidunt tellus blandit neque, egestas scelerisque ut pulvinar sed habita…</x:v>
      </x:c>
      <x:c r="U404" s="6" t="str">
        <x:v>0</x:v>
      </x:c>
      <x:c r="V404" s="6" t="str">
        <x:v>0</x:v>
      </x:c>
      <x:c r="W404" s="6" t="str">
        <x:v>0</x:v>
      </x:c>
      <x:c r="X404" s="6" t="str">
        <x:v>1</x:v>
      </x:c>
      <x:c r="Y404" s="6" t="str">
        <x:v>0</x:v>
      </x:c>
      <x:c r="Z404" s="6" t="str">
        <x:v>1</x:v>
      </x:c>
      <x:c r="AA404" s="6" t="str">
        <x:v>0.0</x:v>
      </x:c>
      <x:c r="AB404" s="20" t="str">
        <x:v>Codex证据复核v1：原始记录唯一匹配、环境实测、反事实配对ID完整、终止且非成功、奖励非正、队列标签与结果派生规则一致；非人工签字。</x:v>
      </x:c>
    </x:row>
    <x:row r="405" ht="46" customHeight="1">
      <x:c r="A405" s="6" t="str">
        <x:v>1</x:v>
      </x:c>
      <x:c r="B405" s="6" t="str">
        <x:v>a3ccc4890ea70a1b9a92</x:v>
      </x:c>
      <x:c r="C405" s="6" t="str">
        <x:v>evidence_approved</x:v>
      </x:c>
      <x:c r="D405" s="6" t="str">
        <x:v>codex-evidence-review-v1</x:v>
      </x:c>
      <x:c r="E405" s="22" t="n">
        <x:v>46244.40206471065</x:v>
      </x:c>
      <x:c r="F405" s="6" t="str">
        <x:v>20</x:v>
      </x:c>
      <x:c r="G405" s="20" t="str">
        <x:v>observed_counterfactual;severe_failure;terminal</x:v>
      </x:c>
      <x:c r="H405" s="20" t="str">
        <x:v>browsergym/miniwob.enter-text-dynamic</x:v>
      </x:c>
      <x:c r="I405" s="6" t="str">
        <x:v>browsergym/miniwob.enter-text-dynamic</x:v>
      </x:c>
      <x:c r="J405" s="6" t="str">
        <x:v>cf-enter-text-dynamic-seed1029-hard_wrong_target</x:v>
      </x:c>
      <x:c r="K405" s="6" t="str">
        <x:v>0</x:v>
      </x:c>
      <x:c r="L405" s="20" t="str">
        <x:v>Enter "OAva" into the text field and press Submit.</x:v>
      </x:c>
      <x:c r="M405" s="20" t="str">
        <x:v>click("15", "left")</x:v>
      </x:c>
      <x:c r="N405" s="6" t="str">
        <x:v>0.0</x:v>
      </x:c>
      <x:c r="O405" s="20" t="str">
        <x:v>file:///root/autodl-tmp/miniwob-plusplus/miniwob/html/miniwob/enter-text-dynamic.html</x:v>
      </x:c>
      <x:c r="P405" s="20" t="str">
        <x:v>Enter Dynamic Text Task</x:v>
      </x:c>
      <x:c r="Q405" s="20" t="str">
        <x:v>RootWebArea 'Enter Dynamic Text Task', focused [14] textbox '', clickable [15] button 'Submit', clickable</x:v>
      </x:c>
      <x:c r="R405" s="20" t="str">
        <x:v>file:///root/autodl-tmp/miniwob-plusplus/miniwob/html/miniwob/enter-text-dynamic.html</x:v>
      </x:c>
      <x:c r="S405" s="20" t="str">
        <x:v>Enter Dynamic Text Task</x:v>
      </x:c>
      <x:c r="T405" s="20" t="str">
        <x:v>RootWebArea 'Enter Dynamic Text Task', focused [14] textbox '', clickable [15] button 'Submit', clickable, focused</x:v>
      </x:c>
      <x:c r="U405" s="6" t="str">
        <x:v>0</x:v>
      </x:c>
      <x:c r="V405" s="6" t="str">
        <x:v>0</x:v>
      </x:c>
      <x:c r="W405" s="6" t="str">
        <x:v>0</x:v>
      </x:c>
      <x:c r="X405" s="6" t="str">
        <x:v>1</x:v>
      </x:c>
      <x:c r="Y405" s="6" t="str">
        <x:v>0</x:v>
      </x:c>
      <x:c r="Z405" s="6" t="str">
        <x:v>1</x:v>
      </x:c>
      <x:c r="AA405" s="6" t="str">
        <x:v>0.0</x:v>
      </x:c>
      <x:c r="AB405" s="20" t="str">
        <x:v>Codex证据复核v1：原始记录唯一匹配、环境实测、反事实配对ID完整、终止且非成功、奖励非正、队列标签与结果派生规则一致；非人工签字。</x:v>
      </x:c>
    </x:row>
    <x:row r="406" ht="46" customHeight="1">
      <x:c r="A406" s="6" t="str">
        <x:v>1</x:v>
      </x:c>
      <x:c r="B406" s="6" t="str">
        <x:v>4225a7b895c61b249056</x:v>
      </x:c>
      <x:c r="C406" s="6" t="str">
        <x:v>evidence_approved</x:v>
      </x:c>
      <x:c r="D406" s="6" t="str">
        <x:v>codex-evidence-review-v1</x:v>
      </x:c>
      <x:c r="E406" s="22" t="n">
        <x:v>46244.40206471065</x:v>
      </x:c>
      <x:c r="F406" s="6" t="str">
        <x:v>20</x:v>
      </x:c>
      <x:c r="G406" s="20" t="str">
        <x:v>observed_counterfactual;severe_failure;terminal</x:v>
      </x:c>
      <x:c r="H406" s="20" t="str">
        <x:v>browsergym/miniwob.click-dialog-2</x:v>
      </x:c>
      <x:c r="I406" s="6" t="str">
        <x:v>browsergym/miniwob.click-dialog-2</x:v>
      </x:c>
      <x:c r="J406" s="6" t="str">
        <x:v>cf-click-dialog-2-seed1016-hard_wrong_target</x:v>
      </x:c>
      <x:c r="K406" s="6" t="str">
        <x:v>0</x:v>
      </x:c>
      <x:c r="L406" s="20" t="str">
        <x:v>Click the button in the dialog box labeled "OK".</x:v>
      </x:c>
      <x:c r="M406" s="20" t="str">
        <x:v>click("20", "left")</x:v>
      </x:c>
      <x:c r="N406" s="6" t="str">
        <x:v>0.0</x:v>
      </x:c>
      <x:c r="O406" s="20" t="str">
        <x:v>file:///root/autodl-tmp/miniwob-plusplus/miniwob/html/miniwob/click-dialog-2.html</x:v>
      </x:c>
      <x:c r="P406" s="20" t="str">
        <x:v>Click Dialog Task</x:v>
      </x:c>
      <x:c r="Q406" s="20" t="str">
        <x:v>RootWebArea 'Click Dialog Task', focused [17] dialog '', clickable, modal=False, describedby='dialog' StaticText '' [20] button 'Close', clickable [24] paragraph '' StaticText 'Nam nec id quis sapien.' [27] button 'Cancel', clickable, focused [28] button 'OK', clickable</x:v>
      </x:c>
      <x:c r="R406" s="20" t="str">
        <x:v>file:///root/autodl-tmp/miniwob-plusplus/miniwob/html/miniwob/click-dialog-2.html</x:v>
      </x:c>
      <x:c r="S406" s="20" t="str">
        <x:v>Click Dialog Task</x:v>
      </x:c>
      <x:c r="T406" s="20" t="str">
        <x:v>RootWebArea 'Click Dialog Task', focused</x:v>
      </x:c>
      <x:c r="U406" s="6" t="str">
        <x:v>0</x:v>
      </x:c>
      <x:c r="V406" s="6" t="str">
        <x:v>0</x:v>
      </x:c>
      <x:c r="W406" s="6" t="str">
        <x:v>0</x:v>
      </x:c>
      <x:c r="X406" s="6" t="str">
        <x:v>1</x:v>
      </x:c>
      <x:c r="Y406" s="6" t="str">
        <x:v>0</x:v>
      </x:c>
      <x:c r="Z406" s="6" t="str">
        <x:v>1</x:v>
      </x:c>
      <x:c r="AA406" s="6" t="str">
        <x:v>0.0</x:v>
      </x:c>
      <x:c r="AB406" s="20" t="str">
        <x:v>Codex证据复核v1：原始记录唯一匹配、环境实测、反事实配对ID完整、终止且非成功、奖励非正、队列标签与结果派生规则一致；非人工签字。</x:v>
      </x:c>
    </x:row>
    <x:row r="407" ht="46" customHeight="1">
      <x:c r="A407" s="6" t="str">
        <x:v>1</x:v>
      </x:c>
      <x:c r="B407" s="6" t="str">
        <x:v>31953268aea9c9b0d8b2</x:v>
      </x:c>
      <x:c r="C407" s="6" t="str">
        <x:v>evidence_approved</x:v>
      </x:c>
      <x:c r="D407" s="6" t="str">
        <x:v>codex-evidence-review-v1</x:v>
      </x:c>
      <x:c r="E407" s="22" t="n">
        <x:v>46244.40206471065</x:v>
      </x:c>
      <x:c r="F407" s="6" t="str">
        <x:v>20</x:v>
      </x:c>
      <x:c r="G407" s="20" t="str">
        <x:v>observed_counterfactual;severe_failure;terminal</x:v>
      </x:c>
      <x:c r="H407" s="20" t="str">
        <x:v>browsergym/miniwob.choose-list</x:v>
      </x:c>
      <x:c r="I407" s="6" t="str">
        <x:v>browsergym/miniwob.choose-list</x:v>
      </x:c>
      <x:c r="J407" s="6" t="str">
        <x:v>cf-choose-list-seed1001-wrong_action_type</x:v>
      </x:c>
      <x:c r="K407" s="6" t="str">
        <x:v>0</x:v>
      </x:c>
      <x:c r="L407" s="20" t="str">
        <x:v>Select Brunei Darussalam from the list and click Submit.</x:v>
      </x:c>
      <x:c r="M407" s="20" t="str">
        <x:v>click("22", "left")</x:v>
      </x:c>
      <x:c r="N407" s="6" t="str">
        <x:v>0.0</x:v>
      </x:c>
      <x:c r="O407" s="20" t="str">
        <x:v>file:///root/autodl-tmp/miniwob-plusplus/miniwob/html/miniwob/choose-list.html</x:v>
      </x:c>
      <x:c r="P407" s="20" t="str">
        <x:v>Choose List Task</x:v>
      </x:c>
      <x:c r="Q407" s="20" t="str">
        <x:v>RootWebArea 'Choose List Task', focused [13] combobox '' value='Uruguay', hasPopup='menu', expanded=False [22] button 'Submit', clickable</x:v>
      </x:c>
      <x:c r="R407" s="20" t="str">
        <x:v>file:///root/autodl-tmp/miniwob-plusplus/miniwob/html/miniwob/choose-list.html</x:v>
      </x:c>
      <x:c r="S407" s="20" t="str">
        <x:v>Choose List Task</x:v>
      </x:c>
      <x:c r="T407" s="20" t="str">
        <x:v>RootWebArea 'Choose List Task', focused [13] combobox '' value='Uruguay', hasPopup='menu', expanded=False [22] button 'Submit', clickable, focused</x:v>
      </x:c>
      <x:c r="U407" s="6" t="str">
        <x:v>0</x:v>
      </x:c>
      <x:c r="V407" s="6" t="str">
        <x:v>0</x:v>
      </x:c>
      <x:c r="W407" s="6" t="str">
        <x:v>0</x:v>
      </x:c>
      <x:c r="X407" s="6" t="str">
        <x:v>1</x:v>
      </x:c>
      <x:c r="Y407" s="6" t="str">
        <x:v>0</x:v>
      </x:c>
      <x:c r="Z407" s="6" t="str">
        <x:v>1</x:v>
      </x:c>
      <x:c r="AA407" s="6" t="str">
        <x:v>0.0</x:v>
      </x:c>
      <x:c r="AB407" s="20" t="str">
        <x:v>Codex证据复核v1：原始记录唯一匹配、环境实测、反事实配对ID完整、终止且非成功、奖励非正、队列标签与结果派生规则一致；非人工签字。</x:v>
      </x:c>
    </x:row>
    <x:row r="408" ht="46" customHeight="1">
      <x:c r="A408" s="6" t="str">
        <x:v>1</x:v>
      </x:c>
      <x:c r="B408" s="6" t="str">
        <x:v>684790624b97491a7022</x:v>
      </x:c>
      <x:c r="C408" s="6" t="str">
        <x:v>evidence_approved</x:v>
      </x:c>
      <x:c r="D408" s="6" t="str">
        <x:v>codex-evidence-review-v1</x:v>
      </x:c>
      <x:c r="E408" s="22" t="n">
        <x:v>46244.40206471065</x:v>
      </x:c>
      <x:c r="F408" s="6" t="str">
        <x:v>20</x:v>
      </x:c>
      <x:c r="G408" s="20" t="str">
        <x:v>observed_counterfactual;severe_failure;terminal</x:v>
      </x:c>
      <x:c r="H408" s="20" t="str">
        <x:v>browsergym/miniwob.click-scroll-list</x:v>
      </x:c>
      <x:c r="I408" s="6" t="str">
        <x:v>browsergym/miniwob.click-scroll-list</x:v>
      </x:c>
      <x:c r="J408" s="6" t="str">
        <x:v>cf-click-scroll-list-seed1002-hard_wrong_target</x:v>
      </x:c>
      <x:c r="K408" s="6" t="str">
        <x:v>0</x:v>
      </x:c>
      <x:c r="L408" s="20" t="str">
        <x:v>Select Lebanon from the scroll list and click Submit.</x:v>
      </x:c>
      <x:c r="M408" s="20" t="str">
        <x:v>click("22", "left")</x:v>
      </x:c>
      <x:c r="N408" s="6" t="str">
        <x:v>0.0</x:v>
      </x:c>
      <x:c r="O408" s="20" t="str">
        <x:v>file:///root/autodl-tmp/miniwob-plusplus/miniwob/html/miniwob/click-scroll-list.html</x:v>
      </x:c>
      <x:c r="P408" s="20" t="str">
        <x:v>Choose List Task</x:v>
      </x:c>
      <x:c r="Q408" s="20" t="str">
        <x:v>RootWebArea 'Choose List Task', focused [13] listbox '', multiselectable=True, orientation='vertical' [14] option '', selected=False [15] option '', selected=False [16] option '', selected=False [17] option '', selected=False [18] option '', selected=False [22] button 'Submit', clickable</x:v>
      </x:c>
      <x:c r="R408" s="20" t="str">
        <x:v>file:///root/autodl-tmp/miniwob-plusplus/miniwob/html/miniwob/click-scroll-list.html</x:v>
      </x:c>
      <x:c r="S408" s="20" t="str">
        <x:v>Choose List Task</x:v>
      </x:c>
      <x:c r="T408" s="20" t="str">
        <x:v>RootWebArea 'Choose List Task', focused [13] listbox '', multiselectable=True, orientation='vertical' [14] option '', selected=False [15] option '', selected=False [16] option '', selected=False [17] option '', selected=False [18] option '', selected=False [22] button 'Submit', clickable, focused</x:v>
      </x:c>
      <x:c r="U408" s="6" t="str">
        <x:v>0</x:v>
      </x:c>
      <x:c r="V408" s="6" t="str">
        <x:v>0</x:v>
      </x:c>
      <x:c r="W408" s="6" t="str">
        <x:v>0</x:v>
      </x:c>
      <x:c r="X408" s="6" t="str">
        <x:v>1</x:v>
      </x:c>
      <x:c r="Y408" s="6" t="str">
        <x:v>0</x:v>
      </x:c>
      <x:c r="Z408" s="6" t="str">
        <x:v>1</x:v>
      </x:c>
      <x:c r="AA408" s="6" t="str">
        <x:v>0.0</x:v>
      </x:c>
      <x:c r="AB408" s="20" t="str">
        <x:v>Codex证据复核v1：原始记录唯一匹配、环境实测、反事实配对ID完整、终止且非成功、奖励非正、队列标签与结果派生规则一致；非人工签字。</x:v>
      </x:c>
    </x:row>
    <x:row r="409" ht="46" customHeight="1">
      <x:c r="A409" s="6" t="str">
        <x:v>1</x:v>
      </x:c>
      <x:c r="B409" s="6" t="str">
        <x:v>02f28f5997a7a8cfaaf2</x:v>
      </x:c>
      <x:c r="C409" s="6" t="str">
        <x:v>evidence_approved</x:v>
      </x:c>
      <x:c r="D409" s="6" t="str">
        <x:v>codex-evidence-review-v1</x:v>
      </x:c>
      <x:c r="E409" s="22" t="n">
        <x:v>46244.40206471065</x:v>
      </x:c>
      <x:c r="F409" s="6" t="str">
        <x:v>20</x:v>
      </x:c>
      <x:c r="G409" s="20" t="str">
        <x:v>observed_counterfactual;severe_failure;terminal</x:v>
      </x:c>
      <x:c r="H409" s="20" t="str">
        <x:v>browsergym/miniwob.choose-list</x:v>
      </x:c>
      <x:c r="I409" s="6" t="str">
        <x:v>browsergym/miniwob.choose-list</x:v>
      </x:c>
      <x:c r="J409" s="6" t="str">
        <x:v>cf-choose-list-seed1036-wrong_action_type</x:v>
      </x:c>
      <x:c r="K409" s="6" t="str">
        <x:v>0</x:v>
      </x:c>
      <x:c r="L409" s="20" t="str">
        <x:v>Select Maia from the list and click Submit.</x:v>
      </x:c>
      <x:c r="M409" s="20" t="str">
        <x:v>click("18", "left")</x:v>
      </x:c>
      <x:c r="N409" s="6" t="str">
        <x:v>0.0</x:v>
      </x:c>
      <x:c r="O409" s="20" t="str">
        <x:v>file:///root/autodl-tmp/miniwob-plusplus/miniwob/html/miniwob/choose-list.html</x:v>
      </x:c>
      <x:c r="P409" s="20" t="str">
        <x:v>Choose List Task</x:v>
      </x:c>
      <x:c r="Q409" s="20" t="str">
        <x:v>RootWebArea 'Choose List Task', focused [13] combobox '' value='Callida', hasPopup='menu', expanded=False [18] button 'Submit', clickable</x:v>
      </x:c>
      <x:c r="R409" s="20" t="str">
        <x:v>file:///root/autodl-tmp/miniwob-plusplus/miniwob/html/miniwob/choose-list.html</x:v>
      </x:c>
      <x:c r="S409" s="20" t="str">
        <x:v>Choose List Task</x:v>
      </x:c>
      <x:c r="T409" s="20" t="str">
        <x:v>RootWebArea 'Choose List Task', focused [13] combobox '' value='Callida', hasPopup='menu', expanded=False [18] button 'Submit', clickable, focused</x:v>
      </x:c>
      <x:c r="U409" s="6" t="str">
        <x:v>0</x:v>
      </x:c>
      <x:c r="V409" s="6" t="str">
        <x:v>0</x:v>
      </x:c>
      <x:c r="W409" s="6" t="str">
        <x:v>0</x:v>
      </x:c>
      <x:c r="X409" s="6" t="str">
        <x:v>1</x:v>
      </x:c>
      <x:c r="Y409" s="6" t="str">
        <x:v>0</x:v>
      </x:c>
      <x:c r="Z409" s="6" t="str">
        <x:v>1</x:v>
      </x:c>
      <x:c r="AA409" s="6" t="str">
        <x:v>0.0</x:v>
      </x:c>
      <x:c r="AB409" s="20" t="str">
        <x:v>Codex证据复核v1：原始记录唯一匹配、环境实测、反事实配对ID完整、终止且非成功、奖励非正、队列标签与结果派生规则一致；非人工签字。</x:v>
      </x:c>
    </x:row>
    <x:row r="410" ht="46" customHeight="1">
      <x:c r="A410" s="6" t="str">
        <x:v>1</x:v>
      </x:c>
      <x:c r="B410" s="6" t="str">
        <x:v>74e7598013e51d73c668</x:v>
      </x:c>
      <x:c r="C410" s="6" t="str">
        <x:v>evidence_approved</x:v>
      </x:c>
      <x:c r="D410" s="6" t="str">
        <x:v>codex-evidence-review-v1</x:v>
      </x:c>
      <x:c r="E410" s="22" t="n">
        <x:v>46244.40206471065</x:v>
      </x:c>
      <x:c r="F410" s="6" t="str">
        <x:v>20</x:v>
      </x:c>
      <x:c r="G410" s="20" t="str">
        <x:v>observed_counterfactual;severe_failure;terminal</x:v>
      </x:c>
      <x:c r="H410" s="20" t="str">
        <x:v>browsergym/miniwob.click-test-2</x:v>
      </x:c>
      <x:c r="I410" s="6" t="str">
        <x:v>browsergym/miniwob.click-test-2</x:v>
      </x:c>
      <x:c r="J410" s="6" t="str">
        <x:v>cf-click-test-2-seed1020-hard_wrong_target</x:v>
      </x:c>
      <x:c r="K410" s="6" t="str">
        <x:v>0</x:v>
      </x:c>
      <x:c r="L410" s="20" t="str">
        <x:v>Click button ONE.</x:v>
      </x:c>
      <x:c r="M410" s="20" t="str">
        <x:v>click("14", "left")</x:v>
      </x:c>
      <x:c r="N410" s="6" t="str">
        <x:v>0.0</x:v>
      </x:c>
      <x:c r="O410" s="20" t="str">
        <x:v>file:///root/autodl-tmp/miniwob-plusplus/miniwob/html/miniwob/click-test-2.html</x:v>
      </x:c>
      <x:c r="P410" s="20" t="str">
        <x:v>Click Test Task</x:v>
      </x:c>
      <x:c r="Q410" s="20" t="str">
        <x:v>RootWebArea 'Click Test Task', focused [13] button 'ONE', clickable [14] button 'TWO', clickable</x:v>
      </x:c>
      <x:c r="R410" s="20" t="str">
        <x:v>file:///root/autodl-tmp/miniwob-plusplus/miniwob/html/miniwob/click-test-2.html</x:v>
      </x:c>
      <x:c r="S410" s="20" t="str">
        <x:v>Click Test Task</x:v>
      </x:c>
      <x:c r="T410" s="20" t="str">
        <x:v>RootWebArea 'Click Test Task', focused [13] button 'ONE', clickable [14] button 'TWO', clickable, focused</x:v>
      </x:c>
      <x:c r="U410" s="6" t="str">
        <x:v>0</x:v>
      </x:c>
      <x:c r="V410" s="6" t="str">
        <x:v>0</x:v>
      </x:c>
      <x:c r="W410" s="6" t="str">
        <x:v>0</x:v>
      </x:c>
      <x:c r="X410" s="6" t="str">
        <x:v>1</x:v>
      </x:c>
      <x:c r="Y410" s="6" t="str">
        <x:v>0</x:v>
      </x:c>
      <x:c r="Z410" s="6" t="str">
        <x:v>1</x:v>
      </x:c>
      <x:c r="AA410" s="6" t="str">
        <x:v>0.0</x:v>
      </x:c>
      <x:c r="AB410" s="20" t="str">
        <x:v>Codex证据复核v1：原始记录唯一匹配、环境实测、反事实配对ID完整、终止且非成功、奖励非正、队列标签与结果派生规则一致；非人工签字。</x:v>
      </x:c>
    </x:row>
    <x:row r="411" ht="46" customHeight="1">
      <x:c r="A411" s="6" t="str">
        <x:v>1</x:v>
      </x:c>
      <x:c r="B411" s="6" t="str">
        <x:v>1a0be6153dca159d40d5</x:v>
      </x:c>
      <x:c r="C411" s="6" t="str">
        <x:v>evidence_approved</x:v>
      </x:c>
      <x:c r="D411" s="6" t="str">
        <x:v>codex-evidence-review-v1</x:v>
      </x:c>
      <x:c r="E411" s="22" t="n">
        <x:v>46244.40206471065</x:v>
      </x:c>
      <x:c r="F411" s="6" t="str">
        <x:v>20</x:v>
      </x:c>
      <x:c r="G411" s="20" t="str">
        <x:v>observed_counterfactual;severe_failure;terminal</x:v>
      </x:c>
      <x:c r="H411" s="20" t="str">
        <x:v>browsergym/miniwob.scroll-text-2</x:v>
      </x:c>
      <x:c r="I411" s="6" t="str">
        <x:v>browsergym/miniwob.scroll-text-2</x:v>
      </x:c>
      <x:c r="J411" s="6" t="str">
        <x:v>cf-scroll-text-2-seed1020-hard_wrong_target</x:v>
      </x:c>
      <x:c r="K411" s="6" t="str">
        <x:v>0</x:v>
      </x:c>
      <x:c r="L411" s="20" t="str">
        <x:v>Scroll the textarea to the top of the text hit submit.</x:v>
      </x:c>
      <x:c r="M411" s="20" t="str">
        <x:v>click("14", "left")</x:v>
      </x:c>
      <x:c r="N411" s="6" t="str">
        <x:v>0.0</x:v>
      </x:c>
      <x:c r="O411" s="20" t="str">
        <x:v>file:///root/autodl-tmp/miniwob-plusplus/miniwob/html/miniwob/scroll-text-2.html</x:v>
      </x:c>
      <x:c r="P411" s="20" t="str">
        <x:v>Scroll Text Task</x:v>
      </x:c>
      <x:c r="Q411" s="20" t="str">
        <x:v>RootWebArea 'Scroll Text Task', focused [13] textbox '' value='Massa, nec lectus eget hac sit elementum viverra. Faucibus interdum risus. Morbi purus. Elit aliquam at feugiat fringilla risus pretium id eu bibendum rhoncus at dolor elit pellentesque ut nulla phasellus magna dictum aliquet. Tortor quisque scelerisque massa duis purus et velit. Vitae molestie eu ultrices a mauris imperdiet. In egestas mi pharetra id ac vitae non morbi augue. Sed. Consectetur molestie diam. Venenatis, enim. Luctus diam suspendisse massa dui leo mattis massa massa. Est nibh habitant. Magna. A tempor volutpat. Molestie vitae mauris tortor, tortor orci … StaticText 'Massa, nec lectus eget hac sit elementum viverra. Faucibus interdum risus. Morbi purus. Elit aliquam at feugiat fringilla risus pretium id eu bibendum rhoncus at dolor elit pellentesque ut nulla phasellus magna dictum aliquet. Tortor quisque sceler…</x:v>
      </x:c>
      <x:c r="R411" s="20" t="str">
        <x:v>file:///root/autodl-tmp/miniwob-plusplus/miniwob/html/miniwob/scroll-text-2.html</x:v>
      </x:c>
      <x:c r="S411" s="20" t="str">
        <x:v>Scroll Text Task</x:v>
      </x:c>
      <x:c r="T411" s="20" t="str">
        <x:v>RootWebArea 'Scroll Text Task', focused [13] textbox '' value='Massa, nec lectus eget hac sit elementum viverra. Faucibus interdum risus. Morbi purus. Elit aliquam at feugiat fringilla risus pretium id eu bibendum rhoncus at dolor elit pellentesque ut nulla phasellus magna dictum aliquet. Tortor quisque scelerisque massa duis purus et velit. Vitae molestie eu ultrices a mauris imperdiet. In egestas mi pharetra id ac vitae non morbi augue. Sed. Consectetur molestie diam. Venenatis, enim. Luctus diam suspendisse massa dui leo mattis massa massa. Est nibh habitant. Magna. A tempor volutpat. Molestie vitae mauris tortor, tortor orci … StaticText 'Massa, nec lectus eget hac sit elementum viverra. Faucibus interdum risus. Morbi purus. Elit aliquam at feugiat fringilla risus pretium id eu bibendum rhoncus at dolor elit pellentesque ut nulla phasellus magna dictum aliquet. Tortor quisque sceler…</x:v>
      </x:c>
      <x:c r="U411" s="6" t="str">
        <x:v>0</x:v>
      </x:c>
      <x:c r="V411" s="6" t="str">
        <x:v>0</x:v>
      </x:c>
      <x:c r="W411" s="6" t="str">
        <x:v>0</x:v>
      </x:c>
      <x:c r="X411" s="6" t="str">
        <x:v>1</x:v>
      </x:c>
      <x:c r="Y411" s="6" t="str">
        <x:v>0</x:v>
      </x:c>
      <x:c r="Z411" s="6" t="str">
        <x:v>1</x:v>
      </x:c>
      <x:c r="AA411" s="6" t="str">
        <x:v>0.0</x:v>
      </x:c>
      <x:c r="AB411" s="20" t="str">
        <x:v>Codex证据复核v1：原始记录唯一匹配、环境实测、反事实配对ID完整、终止且非成功、奖励非正、队列标签与结果派生规则一致；非人工签字。</x:v>
      </x:c>
    </x:row>
    <x:row r="412" ht="46" customHeight="1">
      <x:c r="A412" s="6" t="str">
        <x:v>1</x:v>
      </x:c>
      <x:c r="B412" s="6" t="str">
        <x:v>f657dc952aab1c2748ac</x:v>
      </x:c>
      <x:c r="C412" s="6" t="str">
        <x:v>evidence_approved</x:v>
      </x:c>
      <x:c r="D412" s="6" t="str">
        <x:v>codex-evidence-review-v1</x:v>
      </x:c>
      <x:c r="E412" s="22" t="n">
        <x:v>46244.40206471065</x:v>
      </x:c>
      <x:c r="F412" s="6" t="str">
        <x:v>20</x:v>
      </x:c>
      <x:c r="G412" s="20" t="str">
        <x:v>observed_counterfactual;severe_failure;terminal</x:v>
      </x:c>
      <x:c r="H412" s="20" t="str">
        <x:v>browsergym/miniwob.click-test-2</x:v>
      </x:c>
      <x:c r="I412" s="6" t="str">
        <x:v>browsergym/miniwob.click-test-2</x:v>
      </x:c>
      <x:c r="J412" s="6" t="str">
        <x:v>cf-click-test-2-seed1021-hard_wrong_target</x:v>
      </x:c>
      <x:c r="K412" s="6" t="str">
        <x:v>0</x:v>
      </x:c>
      <x:c r="L412" s="20" t="str">
        <x:v>Click button ONE.</x:v>
      </x:c>
      <x:c r="M412" s="20" t="str">
        <x:v>click("14", "left")</x:v>
      </x:c>
      <x:c r="N412" s="6" t="str">
        <x:v>0.0</x:v>
      </x:c>
      <x:c r="O412" s="20" t="str">
        <x:v>file:///root/autodl-tmp/miniwob-plusplus/miniwob/html/miniwob/click-test-2.html</x:v>
      </x:c>
      <x:c r="P412" s="20" t="str">
        <x:v>Click Test Task</x:v>
      </x:c>
      <x:c r="Q412" s="20" t="str">
        <x:v>RootWebArea 'Click Test Task', focused [13] button 'ONE', clickable [14] button 'TWO', clickable</x:v>
      </x:c>
      <x:c r="R412" s="20" t="str">
        <x:v>file:///root/autodl-tmp/miniwob-plusplus/miniwob/html/miniwob/click-test-2.html</x:v>
      </x:c>
      <x:c r="S412" s="20" t="str">
        <x:v>Click Test Task</x:v>
      </x:c>
      <x:c r="T412" s="20" t="str">
        <x:v>RootWebArea 'Click Test Task', focused [13] button 'ONE', clickable [14] button 'TWO', clickable, focused</x:v>
      </x:c>
      <x:c r="U412" s="6" t="str">
        <x:v>0</x:v>
      </x:c>
      <x:c r="V412" s="6" t="str">
        <x:v>0</x:v>
      </x:c>
      <x:c r="W412" s="6" t="str">
        <x:v>0</x:v>
      </x:c>
      <x:c r="X412" s="6" t="str">
        <x:v>1</x:v>
      </x:c>
      <x:c r="Y412" s="6" t="str">
        <x:v>0</x:v>
      </x:c>
      <x:c r="Z412" s="6" t="str">
        <x:v>1</x:v>
      </x:c>
      <x:c r="AA412" s="6" t="str">
        <x:v>0.0</x:v>
      </x:c>
      <x:c r="AB412" s="20" t="str">
        <x:v>Codex证据复核v1：原始记录唯一匹配、环境实测、反事实配对ID完整、终止且非成功、奖励非正、队列标签与结果派生规则一致；非人工签字。</x:v>
      </x:c>
    </x:row>
    <x:row r="413" ht="46" customHeight="1">
      <x:c r="A413" s="6" t="str">
        <x:v>1</x:v>
      </x:c>
      <x:c r="B413" s="6" t="str">
        <x:v>55caacbf8362d88b7cee</x:v>
      </x:c>
      <x:c r="C413" s="6" t="str">
        <x:v>evidence_approved</x:v>
      </x:c>
      <x:c r="D413" s="6" t="str">
        <x:v>codex-evidence-review-v1</x:v>
      </x:c>
      <x:c r="E413" s="22" t="n">
        <x:v>46244.40206471065</x:v>
      </x:c>
      <x:c r="F413" s="6" t="str">
        <x:v>20</x:v>
      </x:c>
      <x:c r="G413" s="20" t="str">
        <x:v>observed_counterfactual;severe_failure;terminal</x:v>
      </x:c>
      <x:c r="H413" s="20" t="str">
        <x:v>browsergym/miniwob.click-button</x:v>
      </x:c>
      <x:c r="I413" s="6" t="str">
        <x:v>browsergym/miniwob.click-button</x:v>
      </x:c>
      <x:c r="J413" s="6" t="str">
        <x:v>cf-click-button-seed1000-hard_wrong_target</x:v>
      </x:c>
      <x:c r="K413" s="6" t="str">
        <x:v>0</x:v>
      </x:c>
      <x:c r="L413" s="20" t="str">
        <x:v>Click on the "No" button.</x:v>
      </x:c>
      <x:c r="M413" s="20" t="str">
        <x:v>click("15", "left")</x:v>
      </x:c>
      <x:c r="N413" s="6" t="str">
        <x:v>0.0</x:v>
      </x:c>
      <x:c r="O413" s="20" t="str">
        <x:v>file:///root/autodl-tmp/miniwob-plusplus/miniwob/html/miniwob/click-button.html</x:v>
      </x:c>
      <x:c r="P413" s="20" t="str">
        <x:v>Click Button Task</x:v>
      </x:c>
      <x:c r="Q413" s="20" t="str">
        <x:v>RootWebArea 'Click Button Task', focused StaticText 'lectus tristique interdum' [13] button 'No', clickable [15] button 'ok', clickable StaticText 'in diam lobortis' StaticText 'consectetur nec posuere:' [18] textbox '', clickable [20] textbox '', clickable</x:v>
      </x:c>
      <x:c r="R413" s="20" t="str">
        <x:v>file:///root/autodl-tmp/miniwob-plusplus/miniwob/html/miniwob/click-button.html</x:v>
      </x:c>
      <x:c r="S413" s="20" t="str">
        <x:v>Click Button Task</x:v>
      </x:c>
      <x:c r="T413" s="20" t="str">
        <x:v>RootWebArea 'Click Button Task', focused StaticText 'lectus tristique interdum' [13] button 'No', clickable [15] button 'ok', clickable, focused StaticText 'in diam lobortis' StaticText 'consectetur nec posuere:' [18] textbox '', clickable [20] textbox '', clickable</x:v>
      </x:c>
      <x:c r="U413" s="6" t="str">
        <x:v>0</x:v>
      </x:c>
      <x:c r="V413" s="6" t="str">
        <x:v>0</x:v>
      </x:c>
      <x:c r="W413" s="6" t="str">
        <x:v>0</x:v>
      </x:c>
      <x:c r="X413" s="6" t="str">
        <x:v>1</x:v>
      </x:c>
      <x:c r="Y413" s="6" t="str">
        <x:v>0</x:v>
      </x:c>
      <x:c r="Z413" s="6" t="str">
        <x:v>1</x:v>
      </x:c>
      <x:c r="AA413" s="6" t="str">
        <x:v>0.0</x:v>
      </x:c>
      <x:c r="AB413" s="20" t="str">
        <x:v>Codex证据复核v1：原始记录唯一匹配、环境实测、反事实配对ID完整、终止且非成功、奖励非正、队列标签与结果派生规则一致；非人工签字。</x:v>
      </x:c>
    </x:row>
    <x:row r="414" ht="46" customHeight="1">
      <x:c r="A414" s="6" t="str">
        <x:v>1</x:v>
      </x:c>
      <x:c r="B414" s="6" t="str">
        <x:v>8214dfe6cade882bbd9d</x:v>
      </x:c>
      <x:c r="C414" s="6" t="str">
        <x:v>evidence_approved</x:v>
      </x:c>
      <x:c r="D414" s="6" t="str">
        <x:v>codex-evidence-review-v1</x:v>
      </x:c>
      <x:c r="E414" s="22" t="n">
        <x:v>46244.40206471065</x:v>
      </x:c>
      <x:c r="F414" s="6" t="str">
        <x:v>20</x:v>
      </x:c>
      <x:c r="G414" s="20" t="str">
        <x:v>observed_counterfactual;severe_failure;terminal</x:v>
      </x:c>
      <x:c r="H414" s="20" t="str">
        <x:v>browsergym/miniwob.click-menu</x:v>
      </x:c>
      <x:c r="I414" s="6" t="str">
        <x:v>browsergym/miniwob.click-menu</x:v>
      </x:c>
      <x:c r="J414" s="6" t="str">
        <x:v>cf-click-menu-seed1003-hard_wrong_target</x:v>
      </x:c>
      <x:c r="K414" s="6" t="str">
        <x:v>0</x:v>
      </x:c>
      <x:c r="L414" s="20" t="str">
        <x:v>Select Noelyn&gt;Malissia</x:v>
      </x:c>
      <x:c r="M414" s="20" t="str">
        <x:v>click("33", "left")</x:v>
      </x:c>
      <x:c r="N414" s="6" t="str">
        <x:v>0.0</x:v>
      </x:c>
      <x:c r="O414" s="20" t="str">
        <x:v>file:///root/autodl-tmp/miniwob-plusplus/miniwob/html/miniwob/click-menu.html</x:v>
      </x:c>
      <x:c r="P414" s="20" t="str">
        <x:v>Click Menu Task</x:v>
      </x:c>
      <x:c r="Q414" s="20" t="str">
        <x:v>RootWebArea 'Click Menu Task', focused [17] menu '', clickable, orientation='vertical' image '' [19] menuitem 'Noelyn', hasPopup='menu' image '' [33] menuitem 'Cherrita', hasPopup='menu' image '' [51] menuitem 'Caty' image '' [53] menuitem 'Wilhelmine'</x:v>
      </x:c>
      <x:c r="R414" s="20" t="str">
        <x:v>file:///root/autodl-tmp/miniwob-plusplus/miniwob/html/miniwob/click-menu.html</x:v>
      </x:c>
      <x:c r="S414" s="20" t="str">
        <x:v>Click Menu Task</x:v>
      </x:c>
      <x:c r="T414" s="20" t="str">
        <x:v>RootWebArea 'Click Menu Task', focused [17] menu '', clickable, orientation='vertical' image '' [19] menuitem 'Noelyn', hasPopup='menu' image '' [33] menuitem 'Cherrita', hasPopup='menu' [35] menu '', orientation='vertical' image '' [37] menuitem 'Tobi' image '' [39] menuitem 'Anica', hasPopup='menu' image '' [51] menuitem 'Caty' image '' [53] menuitem 'Wilhelmine'</x:v>
      </x:c>
      <x:c r="U414" s="6" t="str">
        <x:v>0</x:v>
      </x:c>
      <x:c r="V414" s="6" t="str">
        <x:v>0</x:v>
      </x:c>
      <x:c r="W414" s="6" t="str">
        <x:v>0</x:v>
      </x:c>
      <x:c r="X414" s="6" t="str">
        <x:v>1</x:v>
      </x:c>
      <x:c r="Y414" s="6" t="str">
        <x:v>0</x:v>
      </x:c>
      <x:c r="Z414" s="6" t="str">
        <x:v>1</x:v>
      </x:c>
      <x:c r="AA414" s="6" t="str">
        <x:v>0.0</x:v>
      </x:c>
      <x:c r="AB414" s="20" t="str">
        <x:v>Codex证据复核v1：原始记录唯一匹配、环境实测、反事实配对ID完整、终止且非成功、奖励非正、队列标签与结果派生规则一致；非人工签字。</x:v>
      </x:c>
    </x:row>
    <x:row r="415" ht="46" customHeight="1">
      <x:c r="A415" s="6" t="str">
        <x:v>1</x:v>
      </x:c>
      <x:c r="B415" s="6" t="str">
        <x:v>1651d878455ee6269b5e</x:v>
      </x:c>
      <x:c r="C415" s="6" t="str">
        <x:v>evidence_approved</x:v>
      </x:c>
      <x:c r="D415" s="6" t="str">
        <x:v>codex-evidence-review-v1</x:v>
      </x:c>
      <x:c r="E415" s="22" t="n">
        <x:v>46244.40206471065</x:v>
      </x:c>
      <x:c r="F415" s="6" t="str">
        <x:v>20</x:v>
      </x:c>
      <x:c r="G415" s="20" t="str">
        <x:v>observed_counterfactual;severe_failure;terminal</x:v>
      </x:c>
      <x:c r="H415" s="20" t="str">
        <x:v>browsergym/miniwob.click-menu</x:v>
      </x:c>
      <x:c r="I415" s="6" t="str">
        <x:v>browsergym/miniwob.click-menu</x:v>
      </x:c>
      <x:c r="J415" s="6" t="str">
        <x:v>cf-click-menu-seed1035-hard_wrong_target</x:v>
      </x:c>
      <x:c r="K415" s="6" t="str">
        <x:v>0</x:v>
      </x:c>
      <x:c r="L415" s="20" t="str">
        <x:v>Select Frannie</x:v>
      </x:c>
      <x:c r="M415" s="20" t="str">
        <x:v>click("19", "left")</x:v>
      </x:c>
      <x:c r="N415" s="6" t="str">
        <x:v>0.0</x:v>
      </x:c>
      <x:c r="O415" s="20" t="str">
        <x:v>file:///root/autodl-tmp/miniwob-plusplus/miniwob/html/miniwob/click-menu.html</x:v>
      </x:c>
      <x:c r="P415" s="20" t="str">
        <x:v>Click Menu Task</x:v>
      </x:c>
      <x:c r="Q415" s="20" t="str">
        <x:v>RootWebArea 'Click Menu Task', focused [17] menu '', clickable, orientation='vertical' image '' [19] menuitem 'Vida' image '' [21] menuitem 'Frannie'</x:v>
      </x:c>
      <x:c r="R415" s="20" t="str">
        <x:v>file:///root/autodl-tmp/miniwob-plusplus/miniwob/html/miniwob/click-menu.html</x:v>
      </x:c>
      <x:c r="S415" s="20" t="str">
        <x:v>Click Menu Task</x:v>
      </x:c>
      <x:c r="T415" s="20" t="str">
        <x:v>RootWebArea 'Click Menu Task', focused [17] menu '', clickable, orientation='vertical' image '' [19] menuitem 'Vida' image '' [21] menuitem 'Frannie'</x:v>
      </x:c>
      <x:c r="U415" s="6" t="str">
        <x:v>0</x:v>
      </x:c>
      <x:c r="V415" s="6" t="str">
        <x:v>0</x:v>
      </x:c>
      <x:c r="W415" s="6" t="str">
        <x:v>0</x:v>
      </x:c>
      <x:c r="X415" s="6" t="str">
        <x:v>1</x:v>
      </x:c>
      <x:c r="Y415" s="6" t="str">
        <x:v>0</x:v>
      </x:c>
      <x:c r="Z415" s="6" t="str">
        <x:v>1</x:v>
      </x:c>
      <x:c r="AA415" s="6" t="str">
        <x:v>0.0</x:v>
      </x:c>
      <x:c r="AB415" s="20" t="str">
        <x:v>Codex证据复核v1：原始记录唯一匹配、环境实测、反事实配对ID完整、终止且非成功、奖励非正、队列标签与结果派生规则一致；非人工签字。</x:v>
      </x:c>
    </x:row>
    <x:row r="416" ht="46" customHeight="1">
      <x:c r="A416" s="6" t="str">
        <x:v>1</x:v>
      </x:c>
      <x:c r="B416" s="6" t="str">
        <x:v>08ff6db579ceb0786f41</x:v>
      </x:c>
      <x:c r="C416" s="6" t="str">
        <x:v>evidence_approved</x:v>
      </x:c>
      <x:c r="D416" s="6" t="str">
        <x:v>codex-evidence-review-v1</x:v>
      </x:c>
      <x:c r="E416" s="22" t="n">
        <x:v>46244.40206471065</x:v>
      </x:c>
      <x:c r="F416" s="6" t="str">
        <x:v>20</x:v>
      </x:c>
      <x:c r="G416" s="20" t="str">
        <x:v>observed_counterfactual;severe_failure;terminal</x:v>
      </x:c>
      <x:c r="H416" s="20" t="str">
        <x:v>browsergym/miniwob.choose-list</x:v>
      </x:c>
      <x:c r="I416" s="6" t="str">
        <x:v>browsergym/miniwob.choose-list</x:v>
      </x:c>
      <x:c r="J416" s="6" t="str">
        <x:v>cf-choose-list-seed1025-missing_target</x:v>
      </x:c>
      <x:c r="K416" s="6" t="str">
        <x:v>0</x:v>
      </x:c>
      <x:c r="L416" s="20" t="str">
        <x:v>Select Fiji from the list and click Submit.</x:v>
      </x:c>
      <x:c r="M416" s="20" t="str">
        <x:v>click("21", "left")</x:v>
      </x:c>
      <x:c r="N416" s="6" t="str">
        <x:v>0.0</x:v>
      </x:c>
      <x:c r="O416" s="20" t="str">
        <x:v>file:///root/autodl-tmp/miniwob-plusplus/miniwob/html/miniwob/choose-list.html</x:v>
      </x:c>
      <x:c r="P416" s="20" t="str">
        <x:v>Choose List Task</x:v>
      </x:c>
      <x:c r="Q416" s="20" t="str">
        <x:v>RootWebArea 'Choose List Task', focused [13] combobox '' value='South Africa', hasPopup='menu', expanded=False [21] button 'Submit', clickable</x:v>
      </x:c>
      <x:c r="R416" s="20" t="str">
        <x:v>file:///root/autodl-tmp/miniwob-plusplus/miniwob/html/miniwob/choose-list.html</x:v>
      </x:c>
      <x:c r="S416" s="20" t="str">
        <x:v>Choose List Task</x:v>
      </x:c>
      <x:c r="T416" s="20" t="str">
        <x:v>RootWebArea 'Choose List Task', focused [13] combobox '' value='South Africa', hasPopup='menu', expanded=False [21] button 'Submit', clickable, focused</x:v>
      </x:c>
      <x:c r="U416" s="6" t="str">
        <x:v>0</x:v>
      </x:c>
      <x:c r="V416" s="6" t="str">
        <x:v>0</x:v>
      </x:c>
      <x:c r="W416" s="6" t="str">
        <x:v>0</x:v>
      </x:c>
      <x:c r="X416" s="6" t="str">
        <x:v>1</x:v>
      </x:c>
      <x:c r="Y416" s="6" t="str">
        <x:v>0</x:v>
      </x:c>
      <x:c r="Z416" s="6" t="str">
        <x:v>1</x:v>
      </x:c>
      <x:c r="AA416" s="6" t="str">
        <x:v>0.0</x:v>
      </x:c>
      <x:c r="AB416" s="20" t="str">
        <x:v>Codex证据复核v1：原始记录唯一匹配、环境实测、反事实配对ID完整、终止且非成功、奖励非正、队列标签与结果派生规则一致；非人工签字。</x:v>
      </x:c>
    </x:row>
    <x:row r="417" ht="46" customHeight="1">
      <x:c r="A417" s="6" t="str">
        <x:v>1</x:v>
      </x:c>
      <x:c r="B417" s="6" t="str">
        <x:v>171726e4418ee5134013</x:v>
      </x:c>
      <x:c r="C417" s="6" t="str">
        <x:v>evidence_approved</x:v>
      </x:c>
      <x:c r="D417" s="6" t="str">
        <x:v>codex-evidence-review-v1</x:v>
      </x:c>
      <x:c r="E417" s="22" t="n">
        <x:v>46244.40206471065</x:v>
      </x:c>
      <x:c r="F417" s="6" t="str">
        <x:v>20</x:v>
      </x:c>
      <x:c r="G417" s="20" t="str">
        <x:v>observed_counterfactual;severe_failure;terminal</x:v>
      </x:c>
      <x:c r="H417" s="20" t="str">
        <x:v>browsergym/miniwob.scroll-text-2</x:v>
      </x:c>
      <x:c r="I417" s="6" t="str">
        <x:v>browsergym/miniwob.scroll-text-2</x:v>
      </x:c>
      <x:c r="J417" s="6" t="str">
        <x:v>cf-scroll-text-2-seed1016-hard_wrong_target</x:v>
      </x:c>
      <x:c r="K417" s="6" t="str">
        <x:v>0</x:v>
      </x:c>
      <x:c r="L417" s="20" t="str">
        <x:v>Scroll the textarea to the top of the text hit submit.</x:v>
      </x:c>
      <x:c r="M417" s="20" t="str">
        <x:v>click("14", "left")</x:v>
      </x:c>
      <x:c r="N417" s="6" t="str">
        <x:v>0.0</x:v>
      </x:c>
      <x:c r="O417" s="20" t="str">
        <x:v>file:///root/autodl-tmp/miniwob-plusplus/miniwob/html/miniwob/scroll-text-2.html</x:v>
      </x:c>
      <x:c r="P417" s="20" t="str">
        <x:v>Scroll Text Task</x:v>
      </x:c>
      <x:c r="Q417" s="20" t="str">
        <x:v>RootWebArea 'Scroll Text Task', focused [13] textbox '' value='Nam nec id quis sapien semper amet ultrices. Amet porttitor. A suscipit. Tellus euismod purus. Accumsan aliquam dictum consectetur nullam a,. Enim mi lacinia at volutpat varius pellentesque pellentesque est sed. A egestas id egestas sed aliquam orci purus lobortis aliquam commodo. Ultricies non eu hendrerit enim morbi mi scelerisque augue. Amet, feugiat. Enim, parturient vulputate elit ut faucibus volutpat nibh morbi magnis erat ultrices. Nisi elementum est enim,. Erat non. In. Ut sapien fermentum quam libero dui aliquam,. Mi felis erat nunc, lobortis. Dolor enim.' StaticText 'Nam nec id quis sapien semper amet ultrices. Amet porttitor. A suscipit. Tellus euismod purus. Accumsan aliquam dictum consectetur nullam a,. Enim mi lacinia at volutpat varius pellentesque pellentesque est sed. A egestas id egestas sed aliquam orci pu…</x:v>
      </x:c>
      <x:c r="R417" s="20" t="str">
        <x:v>file:///root/autodl-tmp/miniwob-plusplus/miniwob/html/miniwob/scroll-text-2.html</x:v>
      </x:c>
      <x:c r="S417" s="20" t="str">
        <x:v>Scroll Text Task</x:v>
      </x:c>
      <x:c r="T417" s="20" t="str">
        <x:v>RootWebArea 'Scroll Text Task', focused [13] textbox '' value='Nam nec id quis sapien semper amet ultrices. Amet porttitor. A suscipit. Tellus euismod purus. Accumsan aliquam dictum consectetur nullam a,. Enim mi lacinia at volutpat varius pellentesque pellentesque est sed. A egestas id egestas sed aliquam orci purus lobortis aliquam commodo. Ultricies non eu hendrerit enim morbi mi scelerisque augue. Amet, feugiat. Enim, parturient vulputate elit ut faucibus volutpat nibh morbi magnis erat ultrices. Nisi elementum est enim,. Erat non. In. Ut sapien fermentum quam libero dui aliquam,. Mi felis erat nunc, lobortis. Dolor enim.' StaticText 'Nam nec id quis sapien semper amet ultrices. Amet porttitor. A suscipit. Tellus euismod purus. Accumsan aliquam dictum consectetur nullam a,. Enim mi lacinia at volutpat varius pellentesque pellentesque est sed. A egestas id egestas sed aliquam orci pu…</x:v>
      </x:c>
      <x:c r="U417" s="6" t="str">
        <x:v>0</x:v>
      </x:c>
      <x:c r="V417" s="6" t="str">
        <x:v>0</x:v>
      </x:c>
      <x:c r="W417" s="6" t="str">
        <x:v>0</x:v>
      </x:c>
      <x:c r="X417" s="6" t="str">
        <x:v>1</x:v>
      </x:c>
      <x:c r="Y417" s="6" t="str">
        <x:v>0</x:v>
      </x:c>
      <x:c r="Z417" s="6" t="str">
        <x:v>1</x:v>
      </x:c>
      <x:c r="AA417" s="6" t="str">
        <x:v>0.0</x:v>
      </x:c>
      <x:c r="AB417" s="20" t="str">
        <x:v>Codex证据复核v1：原始记录唯一匹配、环境实测、反事实配对ID完整、终止且非成功、奖励非正、队列标签与结果派生规则一致；非人工签字。</x:v>
      </x:c>
    </x:row>
    <x:row r="418" ht="46" customHeight="1">
      <x:c r="A418" s="6" t="str">
        <x:v>1</x:v>
      </x:c>
      <x:c r="B418" s="6" t="str">
        <x:v>6ee09fecf9d52840746c</x:v>
      </x:c>
      <x:c r="C418" s="6" t="str">
        <x:v>evidence_approved</x:v>
      </x:c>
      <x:c r="D418" s="6" t="str">
        <x:v>codex-evidence-review-v1</x:v>
      </x:c>
      <x:c r="E418" s="22" t="n">
        <x:v>46244.40206471065</x:v>
      </x:c>
      <x:c r="F418" s="6" t="str">
        <x:v>20</x:v>
      </x:c>
      <x:c r="G418" s="20" t="str">
        <x:v>observed_counterfactual;severe_failure;terminal</x:v>
      </x:c>
      <x:c r="H418" s="20" t="str">
        <x:v>browsergym/miniwob.click-menu</x:v>
      </x:c>
      <x:c r="I418" s="6" t="str">
        <x:v>browsergym/miniwob.click-menu</x:v>
      </x:c>
      <x:c r="J418" s="6" t="str">
        <x:v>cf-click-menu-seed1001-hard_wrong_target</x:v>
      </x:c>
      <x:c r="K418" s="6" t="str">
        <x:v>0</x:v>
      </x:c>
      <x:c r="L418" s="20" t="str">
        <x:v>Select Hanna&gt;Claire&gt;Julee</x:v>
      </x:c>
      <x:c r="M418" s="20" t="str">
        <x:v>click("43", "left")</x:v>
      </x:c>
      <x:c r="N418" s="6" t="str">
        <x:v>0.0</x:v>
      </x:c>
      <x:c r="O418" s="20" t="str">
        <x:v>file:///root/autodl-tmp/miniwob-plusplus/miniwob/html/miniwob/click-menu.html</x:v>
      </x:c>
      <x:c r="P418" s="20" t="str">
        <x:v>Click Menu Task</x:v>
      </x:c>
      <x:c r="Q418" s="20" t="str">
        <x:v>RootWebArea 'Click Menu Task', focused [17] menu '', clickable, orientation='vertical' image '' [19] menuitem 'Hanna', hasPopup='menu' image '' [43] menuitem 'Delores'</x:v>
      </x:c>
      <x:c r="R418" s="20" t="str">
        <x:v>file:///root/autodl-tmp/miniwob-plusplus/miniwob/html/miniwob/click-menu.html</x:v>
      </x:c>
      <x:c r="S418" s="20" t="str">
        <x:v>Click Menu Task</x:v>
      </x:c>
      <x:c r="T418" s="20" t="str">
        <x:v>RootWebArea 'Click Menu Task', focused [17] menu '', clickable, orientation='vertical' image '' [19] menuitem 'Hanna', hasPopup='menu' image '' [43] menuitem 'Delores'</x:v>
      </x:c>
      <x:c r="U418" s="6" t="str">
        <x:v>0</x:v>
      </x:c>
      <x:c r="V418" s="6" t="str">
        <x:v>0</x:v>
      </x:c>
      <x:c r="W418" s="6" t="str">
        <x:v>0</x:v>
      </x:c>
      <x:c r="X418" s="6" t="str">
        <x:v>1</x:v>
      </x:c>
      <x:c r="Y418" s="6" t="str">
        <x:v>0</x:v>
      </x:c>
      <x:c r="Z418" s="6" t="str">
        <x:v>1</x:v>
      </x:c>
      <x:c r="AA418" s="6" t="str">
        <x:v>0.0</x:v>
      </x:c>
      <x:c r="AB418" s="20" t="str">
        <x:v>Codex证据复核v1：原始记录唯一匹配、环境实测、反事实配对ID完整、终止且非成功、奖励非正、队列标签与结果派生规则一致；非人工签字。</x:v>
      </x:c>
    </x:row>
    <x:row r="419" ht="46" customHeight="1">
      <x:c r="A419" s="6" t="str">
        <x:v>1</x:v>
      </x:c>
      <x:c r="B419" s="6" t="str">
        <x:v>a4321a560a2f71532ce9</x:v>
      </x:c>
      <x:c r="C419" s="6" t="str">
        <x:v>evidence_approved</x:v>
      </x:c>
      <x:c r="D419" s="6" t="str">
        <x:v>codex-evidence-review-v1</x:v>
      </x:c>
      <x:c r="E419" s="22" t="n">
        <x:v>46244.40206471065</x:v>
      </x:c>
      <x:c r="F419" s="6" t="str">
        <x:v>20</x:v>
      </x:c>
      <x:c r="G419" s="20" t="str">
        <x:v>observed_counterfactual;severe_failure;terminal</x:v>
      </x:c>
      <x:c r="H419" s="20" t="str">
        <x:v>browsergym/miniwob.scroll-text</x:v>
      </x:c>
      <x:c r="I419" s="6" t="str">
        <x:v>browsergym/miniwob.scroll-text</x:v>
      </x:c>
      <x:c r="J419" s="6" t="str">
        <x:v>cf-scroll-text-seed1035-hard_wrong_target</x:v>
      </x:c>
      <x:c r="K419" s="6" t="str">
        <x:v>0</x:v>
      </x:c>
      <x:c r="L419" s="20" t="str">
        <x:v>Find the last word in the text area, enter it into the text field and hit Submit.</x:v>
      </x:c>
      <x:c r="M419" s="20" t="str">
        <x:v>click("15", "left")</x:v>
      </x:c>
      <x:c r="N419" s="6" t="str">
        <x:v>0.0</x:v>
      </x:c>
      <x:c r="O419" s="20" t="str">
        <x:v>file:///root/autodl-tmp/miniwob-plusplus/miniwob/html/miniwob/scroll-text.html</x:v>
      </x:c>
      <x:c r="P419" s="20" t="str">
        <x:v>Scroll Text Task</x:v>
      </x:c>
      <x:c r="Q419" s="20" t="str">
        <x:v>RootWebArea 'Scroll Text Task', focused [13] textbox '' value='Mollis fringilla purus maecenas. Lacus nibh volutpat turpis in pellentesque adipiscing scelerisque a. Faucibus augue morbi tincidunt feugiat est. Rhoncus lacus rutrum cras in nulla iaculis. Viverra ultrices adipiscing velit. Id. Leo. Cras arcu vulputate nunc, at. Vel hendrerit quam senectus. Dignissim urna, curabitur. Sociis. Donec vulputate ultrices faucibus volutpat et mauris ac. Mi enim. Erat elit, elit. Enim ipsum a, nunc id amet, et at eget in pharetra viverra volutpat est ut eget semper nunc duis libero habitant. Turpis arcu non sit et, dolor nec pretium eu. Nis… StaticText 'Mollis fringilla purus maecenas. Lacus nibh volutpat turpis in pellentesque adipiscing scelerisque a. Faucibus augue morbi tincidunt feugiat est. Rhoncus lacus rutrum cras in nulla iaculis. Viverra ultrices adipiscing velit. Id. Leo. Cras arcu vulp…</x:v>
      </x:c>
      <x:c r="R419" s="20" t="str">
        <x:v>file:///root/autodl-tmp/miniwob-plusplus/miniwob/html/miniwob/scroll-text.html</x:v>
      </x:c>
      <x:c r="S419" s="20" t="str">
        <x:v>Scroll Text Task</x:v>
      </x:c>
      <x:c r="T419" s="20" t="str">
        <x:v>RootWebArea 'Scroll Text Task', focused [13] textbox '' value='Mollis fringilla purus maecenas. Lacus nibh volutpat turpis in pellentesque adipiscing scelerisque a. Faucibus augue morbi tincidunt feugiat est. Rhoncus lacus rutrum cras in nulla iaculis. Viverra ultrices adipiscing velit. Id. Leo. Cras arcu vulputate nunc, at. Vel hendrerit quam senectus. Dignissim urna, curabitur. Sociis. Donec vulputate ultrices faucibus volutpat et mauris ac. Mi enim. Erat elit, elit. Enim ipsum a, nunc id amet, et at eget in pharetra viverra volutpat est ut eget semper nunc duis libero habitant. Turpis arcu non sit et, dolor nec pretium eu. Nis… StaticText 'Mollis fringilla purus maecenas. Lacus nibh volutpat turpis in pellentesque adipiscing scelerisque a. Faucibus augue morbi tincidunt feugiat est. Rhoncus lacus rutrum cras in nulla iaculis. Viverra ultrices adipiscing velit. Id. Leo. Cras arcu vulp…</x:v>
      </x:c>
      <x:c r="U419" s="6" t="str">
        <x:v>0</x:v>
      </x:c>
      <x:c r="V419" s="6" t="str">
        <x:v>0</x:v>
      </x:c>
      <x:c r="W419" s="6" t="str">
        <x:v>0</x:v>
      </x:c>
      <x:c r="X419" s="6" t="str">
        <x:v>1</x:v>
      </x:c>
      <x:c r="Y419" s="6" t="str">
        <x:v>0</x:v>
      </x:c>
      <x:c r="Z419" s="6" t="str">
        <x:v>1</x:v>
      </x:c>
      <x:c r="AA419" s="6" t="str">
        <x:v>0.0</x:v>
      </x:c>
      <x:c r="AB419" s="20" t="str">
        <x:v>Codex证据复核v1：原始记录唯一匹配、环境实测、反事实配对ID完整、终止且非成功、奖励非正、队列标签与结果派生规则一致；非人工签字。</x:v>
      </x:c>
    </x:row>
    <x:row r="420" ht="46" customHeight="1">
      <x:c r="A420" s="6" t="str">
        <x:v>1</x:v>
      </x:c>
      <x:c r="B420" s="6" t="str">
        <x:v>ea31fd9d904844ec0fdd</x:v>
      </x:c>
      <x:c r="C420" s="6" t="str">
        <x:v>evidence_approved</x:v>
      </x:c>
      <x:c r="D420" s="6" t="str">
        <x:v>codex-evidence-review-v1</x:v>
      </x:c>
      <x:c r="E420" s="22" t="n">
        <x:v>46244.40206471065</x:v>
      </x:c>
      <x:c r="F420" s="6" t="str">
        <x:v>20</x:v>
      </x:c>
      <x:c r="G420" s="20" t="str">
        <x:v>observed_counterfactual;severe_failure;terminal</x:v>
      </x:c>
      <x:c r="H420" s="20" t="str">
        <x:v>browsergym/miniwob.enter-text-2</x:v>
      </x:c>
      <x:c r="I420" s="6" t="str">
        <x:v>browsergym/miniwob.enter-text-2</x:v>
      </x:c>
      <x:c r="J420" s="6" t="str">
        <x:v>cf-enter-text-2-seed1009-hard_wrong_target</x:v>
      </x:c>
      <x:c r="K420" s="6" t="str">
        <x:v>0</x:v>
      </x:c>
      <x:c r="L420" s="20" t="str">
        <x:v>Type "KENETH" in all lower case letters in the text input and press Submit.</x:v>
      </x:c>
      <x:c r="M420" s="20" t="str">
        <x:v>click("15", "left")</x:v>
      </x:c>
      <x:c r="N420" s="6" t="str">
        <x:v>0.0</x:v>
      </x:c>
      <x:c r="O420" s="20" t="str">
        <x:v>file:///root/autodl-tmp/miniwob-plusplus/miniwob/html/miniwob/enter-text-2.html</x:v>
      </x:c>
      <x:c r="P420" s="20" t="str">
        <x:v>Enter Text Task</x:v>
      </x:c>
      <x:c r="Q420" s="20" t="str">
        <x:v>RootWebArea 'Enter Text Task', focused [14] textbox '', clickable [15] button 'Submit', clickable</x:v>
      </x:c>
      <x:c r="R420" s="20" t="str">
        <x:v>file:///root/autodl-tmp/miniwob-plusplus/miniwob/html/miniwob/enter-text-2.html</x:v>
      </x:c>
      <x:c r="S420" s="20" t="str">
        <x:v>Enter Text Task</x:v>
      </x:c>
      <x:c r="T420" s="20" t="str">
        <x:v>RootWebArea 'Enter Text Task', focused [14] textbox '', clickable [15] button 'Submit', clickable, focused</x:v>
      </x:c>
      <x:c r="U420" s="6" t="str">
        <x:v>0</x:v>
      </x:c>
      <x:c r="V420" s="6" t="str">
        <x:v>0</x:v>
      </x:c>
      <x:c r="W420" s="6" t="str">
        <x:v>0</x:v>
      </x:c>
      <x:c r="X420" s="6" t="str">
        <x:v>1</x:v>
      </x:c>
      <x:c r="Y420" s="6" t="str">
        <x:v>0</x:v>
      </x:c>
      <x:c r="Z420" s="6" t="str">
        <x:v>1</x:v>
      </x:c>
      <x:c r="AA420" s="6" t="str">
        <x:v>0.0</x:v>
      </x:c>
      <x:c r="AB420" s="20" t="str">
        <x:v>Codex证据复核v1：原始记录唯一匹配、环境实测、反事实配对ID完整、终止且非成功、奖励非正、队列标签与结果派生规则一致；非人工签字。</x:v>
      </x:c>
    </x:row>
    <x:row r="421" ht="46" customHeight="1">
      <x:c r="A421" s="6" t="str">
        <x:v>1</x:v>
      </x:c>
      <x:c r="B421" s="6" t="str">
        <x:v>492a765b28acf64c0c73</x:v>
      </x:c>
      <x:c r="C421" s="6" t="str">
        <x:v>evidence_approved</x:v>
      </x:c>
      <x:c r="D421" s="6" t="str">
        <x:v>codex-evidence-review-v1</x:v>
      </x:c>
      <x:c r="E421" s="22" t="n">
        <x:v>46244.40206471065</x:v>
      </x:c>
      <x:c r="F421" s="6" t="str">
        <x:v>20</x:v>
      </x:c>
      <x:c r="G421" s="20" t="str">
        <x:v>observed_counterfactual;severe_failure;terminal</x:v>
      </x:c>
      <x:c r="H421" s="20" t="str">
        <x:v>browsergym/miniwob.enter-text-dynamic</x:v>
      </x:c>
      <x:c r="I421" s="6" t="str">
        <x:v>browsergym/miniwob.enter-text-dynamic</x:v>
      </x:c>
      <x:c r="J421" s="6" t="str">
        <x:v>cf-enter-text-dynamic-seed1016-hard_wrong_target</x:v>
      </x:c>
      <x:c r="K421" s="6" t="str">
        <x:v>0</x:v>
      </x:c>
      <x:c r="L421" s="20" t="str">
        <x:v>Enter "4kGOA" into the text field and press Submit.</x:v>
      </x:c>
      <x:c r="M421" s="20" t="str">
        <x:v>click("15", "left")</x:v>
      </x:c>
      <x:c r="N421" s="6" t="str">
        <x:v>0.0</x:v>
      </x:c>
      <x:c r="O421" s="20" t="str">
        <x:v>file:///root/autodl-tmp/miniwob-plusplus/miniwob/html/miniwob/enter-text-dynamic.html</x:v>
      </x:c>
      <x:c r="P421" s="20" t="str">
        <x:v>Enter Dynamic Text Task</x:v>
      </x:c>
      <x:c r="Q421" s="20" t="str">
        <x:v>RootWebArea 'Enter Dynamic Text Task', focused [14] textbox '', clickable [15] button 'Submit', clickable</x:v>
      </x:c>
      <x:c r="R421" s="20" t="str">
        <x:v>file:///root/autodl-tmp/miniwob-plusplus/miniwob/html/miniwob/enter-text-dynamic.html</x:v>
      </x:c>
      <x:c r="S421" s="20" t="str">
        <x:v>Enter Dynamic Text Task</x:v>
      </x:c>
      <x:c r="T421" s="20" t="str">
        <x:v>RootWebArea 'Enter Dynamic Text Task', focused [14] textbox '', clickable [15] button 'Submit', clickable, focused</x:v>
      </x:c>
      <x:c r="U421" s="6" t="str">
        <x:v>0</x:v>
      </x:c>
      <x:c r="V421" s="6" t="str">
        <x:v>0</x:v>
      </x:c>
      <x:c r="W421" s="6" t="str">
        <x:v>0</x:v>
      </x:c>
      <x:c r="X421" s="6" t="str">
        <x:v>1</x:v>
      </x:c>
      <x:c r="Y421" s="6" t="str">
        <x:v>0</x:v>
      </x:c>
      <x:c r="Z421" s="6" t="str">
        <x:v>1</x:v>
      </x:c>
      <x:c r="AA421" s="6" t="str">
        <x:v>0.0</x:v>
      </x:c>
      <x:c r="AB421" s="20" t="str">
        <x:v>Codex证据复核v1：原始记录唯一匹配、环境实测、反事实配对ID完整、终止且非成功、奖励非正、队列标签与结果派生规则一致；非人工签字。</x:v>
      </x:c>
    </x:row>
    <x:row r="422" ht="46" customHeight="1">
      <x:c r="A422" s="6" t="str">
        <x:v>1</x:v>
      </x:c>
      <x:c r="B422" s="6" t="str">
        <x:v>4fc778b41d7647035aa3</x:v>
      </x:c>
      <x:c r="C422" s="6" t="str">
        <x:v>evidence_approved</x:v>
      </x:c>
      <x:c r="D422" s="6" t="str">
        <x:v>codex-evidence-review-v1</x:v>
      </x:c>
      <x:c r="E422" s="22" t="n">
        <x:v>46244.40206471065</x:v>
      </x:c>
      <x:c r="F422" s="6" t="str">
        <x:v>20</x:v>
      </x:c>
      <x:c r="G422" s="20" t="str">
        <x:v>observed_counterfactual;severe_failure;terminal</x:v>
      </x:c>
      <x:c r="H422" s="20" t="str">
        <x:v>browsergym/miniwob.enter-text-2</x:v>
      </x:c>
      <x:c r="I422" s="6" t="str">
        <x:v>browsergym/miniwob.enter-text-2</x:v>
      </x:c>
      <x:c r="J422" s="6" t="str">
        <x:v>cf-enter-text-2-seed1036-hard_wrong_target</x:v>
      </x:c>
      <x:c r="K422" s="6" t="str">
        <x:v>0</x:v>
      </x:c>
      <x:c r="L422" s="20" t="str">
        <x:v>Type "marcella" in all upper case letters in the text input and press Submit.</x:v>
      </x:c>
      <x:c r="M422" s="20" t="str">
        <x:v>click("15", "left")</x:v>
      </x:c>
      <x:c r="N422" s="6" t="str">
        <x:v>0.0</x:v>
      </x:c>
      <x:c r="O422" s="20" t="str">
        <x:v>file:///root/autodl-tmp/miniwob-plusplus/miniwob/html/miniwob/enter-text-2.html</x:v>
      </x:c>
      <x:c r="P422" s="20" t="str">
        <x:v>Enter Text Task</x:v>
      </x:c>
      <x:c r="Q422" s="20" t="str">
        <x:v>RootWebArea 'Enter Text Task', focused [14] textbox '', clickable [15] button 'Submit', clickable</x:v>
      </x:c>
      <x:c r="R422" s="20" t="str">
        <x:v>file:///root/autodl-tmp/miniwob-plusplus/miniwob/html/miniwob/enter-text-2.html</x:v>
      </x:c>
      <x:c r="S422" s="20" t="str">
        <x:v>Enter Text Task</x:v>
      </x:c>
      <x:c r="T422" s="20" t="str">
        <x:v>RootWebArea 'Enter Text Task', focused [14] textbox '', clickable [15] button 'Submit', clickable, focused</x:v>
      </x:c>
      <x:c r="U422" s="6" t="str">
        <x:v>0</x:v>
      </x:c>
      <x:c r="V422" s="6" t="str">
        <x:v>0</x:v>
      </x:c>
      <x:c r="W422" s="6" t="str">
        <x:v>0</x:v>
      </x:c>
      <x:c r="X422" s="6" t="str">
        <x:v>1</x:v>
      </x:c>
      <x:c r="Y422" s="6" t="str">
        <x:v>0</x:v>
      </x:c>
      <x:c r="Z422" s="6" t="str">
        <x:v>1</x:v>
      </x:c>
      <x:c r="AA422" s="6" t="str">
        <x:v>0.0</x:v>
      </x:c>
      <x:c r="AB422" s="20" t="str">
        <x:v>Codex证据复核v1：原始记录唯一匹配、环境实测、反事实配对ID完整、终止且非成功、奖励非正、队列标签与结果派生规则一致；非人工签字。</x:v>
      </x:c>
    </x:row>
    <x:row r="423" ht="46" customHeight="1">
      <x:c r="A423" s="6" t="str">
        <x:v>1</x:v>
      </x:c>
      <x:c r="B423" s="6" t="str">
        <x:v>9228f3aa403023573365</x:v>
      </x:c>
      <x:c r="C423" s="6" t="str">
        <x:v>evidence_approved</x:v>
      </x:c>
      <x:c r="D423" s="6" t="str">
        <x:v>codex-evidence-review-v1</x:v>
      </x:c>
      <x:c r="E423" s="22" t="n">
        <x:v>46244.40206471065</x:v>
      </x:c>
      <x:c r="F423" s="6" t="str">
        <x:v>20</x:v>
      </x:c>
      <x:c r="G423" s="20" t="str">
        <x:v>observed_counterfactual;severe_failure;terminal</x:v>
      </x:c>
      <x:c r="H423" s="20" t="str">
        <x:v>browsergym/miniwob.scroll-text</x:v>
      </x:c>
      <x:c r="I423" s="6" t="str">
        <x:v>browsergym/miniwob.scroll-text</x:v>
      </x:c>
      <x:c r="J423" s="6" t="str">
        <x:v>cf-scroll-text-seed1036-hard_wrong_target</x:v>
      </x:c>
      <x:c r="K423" s="6" t="str">
        <x:v>0</x:v>
      </x:c>
      <x:c r="L423" s="20" t="str">
        <x:v>Find the last word in the text area, enter it into the text field and hit Submit.</x:v>
      </x:c>
      <x:c r="M423" s="20" t="str">
        <x:v>click("15", "left")</x:v>
      </x:c>
      <x:c r="N423" s="6" t="str">
        <x:v>0.0</x:v>
      </x:c>
      <x:c r="O423" s="20" t="str">
        <x:v>file:///root/autodl-tmp/miniwob-plusplus/miniwob/html/miniwob/scroll-text.html</x:v>
      </x:c>
      <x:c r="P423" s="20" t="str">
        <x:v>Scroll Text Task</x:v>
      </x:c>
      <x:c r="Q423" s="20" t="str">
        <x:v>RootWebArea 'Scroll Text Task', focused [13] textbox '' value='Sit velit interdum. Sapien lorem cursus diam lobortis vel cras convallis sapien a turpis arcu. Amet vitae gravida leo sit mi, nisi laoreet. Nam in in. Commodo ullamcorper cursus malesuada aliquam. Cursus gravida. Neque fusce egestas dui, non aliquam ut convallis eget dictumst augue. Tempor est sapien blandit. A in velit euismod pellentesque viverra nibh ornare quam. Tempus lectus venenatis euismod. Sem. Sapien,. Risus in nibh. Eget quam. Amet. Imperdiet in pellentesque sit nascetur.' StaticText 'Sit velit interdum. Sapien lorem cursus diam lobortis vel cras convallis sapien a turpis arcu. Amet vitae gravida leo sit mi, nisi laoreet. Nam in in. Commodo ullamcorper cursus malesuada aliquam. Cursus gravida. Neque fusce egestas dui, non aliquam ut convallis eget dictumst augue. Tempor est sapien blandit. A in velit euismod pelle…</x:v>
      </x:c>
      <x:c r="R423" s="20" t="str">
        <x:v>file:///root/autodl-tmp/miniwob-plusplus/miniwob/html/miniwob/scroll-text.html</x:v>
      </x:c>
      <x:c r="S423" s="20" t="str">
        <x:v>Scroll Text Task</x:v>
      </x:c>
      <x:c r="T423" s="20" t="str">
        <x:v>RootWebArea 'Scroll Text Task', focused [13] textbox '' value='Sit velit interdum. Sapien lorem cursus diam lobortis vel cras convallis sapien a turpis arcu. Amet vitae gravida leo sit mi, nisi laoreet. Nam in in. Commodo ullamcorper cursus malesuada aliquam. Cursus gravida. Neque fusce egestas dui, non aliquam ut convallis eget dictumst augue. Tempor est sapien blandit. A in velit euismod pellentesque viverra nibh ornare quam. Tempus lectus venenatis euismod. Sem. Sapien,. Risus in nibh. Eget quam. Amet. Imperdiet in pellentesque sit nascetur.' StaticText 'Sit velit interdum. Sapien lorem cursus diam lobortis vel cras convallis sapien a turpis arcu. Amet vitae gravida leo sit mi, nisi laoreet. Nam in in. Commodo ullamcorper cursus malesuada aliquam. Cursus gravida. Neque fusce egestas dui, non aliquam ut convallis eget dictumst augue. Tempor est sapien blandit. A in velit euismod pelle…</x:v>
      </x:c>
      <x:c r="U423" s="6" t="str">
        <x:v>0</x:v>
      </x:c>
      <x:c r="V423" s="6" t="str">
        <x:v>0</x:v>
      </x:c>
      <x:c r="W423" s="6" t="str">
        <x:v>0</x:v>
      </x:c>
      <x:c r="X423" s="6" t="str">
        <x:v>1</x:v>
      </x:c>
      <x:c r="Y423" s="6" t="str">
        <x:v>0</x:v>
      </x:c>
      <x:c r="Z423" s="6" t="str">
        <x:v>1</x:v>
      </x:c>
      <x:c r="AA423" s="6" t="str">
        <x:v>0.0</x:v>
      </x:c>
      <x:c r="AB423" s="20" t="str">
        <x:v>Codex证据复核v1：原始记录唯一匹配、环境实测、反事实配对ID完整、终止且非成功、奖励非正、队列标签与结果派生规则一致；非人工签字。</x:v>
      </x:c>
    </x:row>
    <x:row r="424" ht="46" customHeight="1">
      <x:c r="A424" s="6" t="str">
        <x:v>1</x:v>
      </x:c>
      <x:c r="B424" s="6" t="str">
        <x:v>31af313105a9d41c4cd4</x:v>
      </x:c>
      <x:c r="C424" s="6" t="str">
        <x:v>evidence_approved</x:v>
      </x:c>
      <x:c r="D424" s="6" t="str">
        <x:v>codex-evidence-review-v1</x:v>
      </x:c>
      <x:c r="E424" s="22" t="n">
        <x:v>46244.40206471065</x:v>
      </x:c>
      <x:c r="F424" s="6" t="str">
        <x:v>20</x:v>
      </x:c>
      <x:c r="G424" s="20" t="str">
        <x:v>observed_counterfactual;severe_failure;terminal</x:v>
      </x:c>
      <x:c r="H424" s="20" t="str">
        <x:v>browsergym/miniwob.click-widget</x:v>
      </x:c>
      <x:c r="I424" s="6" t="str">
        <x:v>browsergym/miniwob.click-widget</x:v>
      </x:c>
      <x:c r="J424" s="6" t="str">
        <x:v>cf-click-widget-seed1027-hard_wrong_target</x:v>
      </x:c>
      <x:c r="K424" s="6" t="str">
        <x:v>0</x:v>
      </x:c>
      <x:c r="L424" s="20" t="str">
        <x:v>Click on a "radio" widget.</x:v>
      </x:c>
      <x:c r="M424" s="20" t="str">
        <x:v>click("18", "left")</x:v>
      </x:c>
      <x:c r="N424" s="6" t="str">
        <x:v>0.0</x:v>
      </x:c>
      <x:c r="O424" s="20" t="str">
        <x:v>file:///root/autodl-tmp/miniwob-plusplus/miniwob/html/miniwob/click-widget.html</x:v>
      </x:c>
      <x:c r="P424" s="20" t="str">
        <x:v>Click Widget Task</x:v>
      </x:c>
      <x:c r="Q424" s="20" t="str">
        <x:v>RootWebArea 'Click Widget Task', focused [14] LabelText '', clickable [15] checkbox 'y', clickable, checked='false' StaticText 'y' [17] LabelText '', clickable [18] checkbox '7vM', clickable, checked='false' StaticText '7vM' [20] textbox '' value='u', clickable StaticText 'u' [22] LabelText '', clickable [23] radio 'F', clickable, checked='false' StaticText 'F' [25] textbox '' value='6' StaticText '6'</x:v>
      </x:c>
      <x:c r="R424" s="20" t="str">
        <x:v>file:///root/autodl-tmp/miniwob-plusplus/miniwob/html/miniwob/click-widget.html</x:v>
      </x:c>
      <x:c r="S424" s="20" t="str">
        <x:v>Click Widget Task</x:v>
      </x:c>
      <x:c r="T424" s="20" t="str">
        <x:v>RootWebArea 'Click Widget Task', focused [14] LabelText '', clickable [15] checkbox 'y', clickable, checked='false' StaticText 'y' [17] LabelText '', clickable [18] checkbox '7vM', clickable, focused, checked='true' StaticText '7vM' [20] textbox '' value='u', clickable StaticText 'u' [22] LabelText '', clickable [23] radio 'F', clickable, checked='false' StaticText 'F' [25] textbox '' value='6' StaticText '6'</x:v>
      </x:c>
      <x:c r="U424" s="6" t="str">
        <x:v>0</x:v>
      </x:c>
      <x:c r="V424" s="6" t="str">
        <x:v>0</x:v>
      </x:c>
      <x:c r="W424" s="6" t="str">
        <x:v>0</x:v>
      </x:c>
      <x:c r="X424" s="6" t="str">
        <x:v>1</x:v>
      </x:c>
      <x:c r="Y424" s="6" t="str">
        <x:v>0</x:v>
      </x:c>
      <x:c r="Z424" s="6" t="str">
        <x:v>1</x:v>
      </x:c>
      <x:c r="AA424" s="6" t="str">
        <x:v>0.0</x:v>
      </x:c>
      <x:c r="AB424" s="20" t="str">
        <x:v>Codex证据复核v1：原始记录唯一匹配、环境实测、反事实配对ID完整、终止且非成功、奖励非正、队列标签与结果派生规则一致；非人工签字。</x:v>
      </x:c>
    </x:row>
    <x:row r="425" ht="46" customHeight="1">
      <x:c r="A425" s="6" t="str">
        <x:v>1</x:v>
      </x:c>
      <x:c r="B425" s="6" t="str">
        <x:v>e28cd8cc3fb3c5b6b152</x:v>
      </x:c>
      <x:c r="C425" s="6" t="str">
        <x:v>evidence_approved</x:v>
      </x:c>
      <x:c r="D425" s="6" t="str">
        <x:v>codex-evidence-review-v1</x:v>
      </x:c>
      <x:c r="E425" s="22" t="n">
        <x:v>46244.40206471065</x:v>
      </x:c>
      <x:c r="F425" s="6" t="str">
        <x:v>20</x:v>
      </x:c>
      <x:c r="G425" s="20" t="str">
        <x:v>observed_counterfactual;severe_failure;terminal</x:v>
      </x:c>
      <x:c r="H425" s="20" t="str">
        <x:v>browsergym/miniwob.click-collapsible</x:v>
      </x:c>
      <x:c r="I425" s="6" t="str">
        <x:v>browsergym/miniwob.click-collapsible</x:v>
      </x:c>
      <x:c r="J425" s="6" t="str">
        <x:v>cf-click-collapsible-seed1009-hard_wrong_target</x:v>
      </x:c>
      <x:c r="K425" s="6" t="str">
        <x:v>0</x:v>
      </x:c>
      <x:c r="L425" s="20" t="str">
        <x:v>Expand the section below and click submit.</x:v>
      </x:c>
      <x:c r="M425" s="20" t="str">
        <x:v>click("19", "left")</x:v>
      </x:c>
      <x:c r="N425" s="6" t="str">
        <x:v>0.0</x:v>
      </x:c>
      <x:c r="O425" s="20" t="str">
        <x:v>file:///root/autodl-tmp/miniwob-plusplus/miniwob/html/miniwob/click-collapsible.html</x:v>
      </x:c>
      <x:c r="P425" s="20" t="str">
        <x:v>Click Collapsible Task</x:v>
      </x:c>
      <x:c r="Q425" s="20" t="str">
        <x:v>RootWebArea 'Click Collapsible Task', focused [15] tablist '', multiselectable=False, orientation='horizontal' [16] tab 'Section #1', clickable, expanded=False, selected=False, controls='ui-id-2' [19] tab 'Submit', clickable, expanded=False, selected=False [22] button 'Submit', clickable</x:v>
      </x:c>
      <x:c r="R425" s="20" t="str">
        <x:v>file:///root/autodl-tmp/miniwob-plusplus/miniwob/html/miniwob/click-collapsible.html</x:v>
      </x:c>
      <x:c r="S425" s="20" t="str">
        <x:v>Click Collapsible Task</x:v>
      </x:c>
      <x:c r="T425" s="20" t="str">
        <x:v>RootWebArea 'Click Collapsible Task', focused [15] tablist '', multiselectable=False, orientation='horizontal' [16] tab 'Section #1', clickable, expanded=False, selected=False, controls='ui-id-2' [19] tab 'Submit', clickable, expanded=False, selected=False [22] button 'Submit', clickable, focused</x:v>
      </x:c>
      <x:c r="U425" s="6" t="str">
        <x:v>0</x:v>
      </x:c>
      <x:c r="V425" s="6" t="str">
        <x:v>0</x:v>
      </x:c>
      <x:c r="W425" s="6" t="str">
        <x:v>0</x:v>
      </x:c>
      <x:c r="X425" s="6" t="str">
        <x:v>1</x:v>
      </x:c>
      <x:c r="Y425" s="6" t="str">
        <x:v>0</x:v>
      </x:c>
      <x:c r="Z425" s="6" t="str">
        <x:v>1</x:v>
      </x:c>
      <x:c r="AA425" s="6" t="str">
        <x:v>0.0</x:v>
      </x:c>
      <x:c r="AB425" s="20" t="str">
        <x:v>Codex证据复核v1：原始记录唯一匹配、环境实测、反事实配对ID完整、终止且非成功、奖励非正、队列标签与结果派生规则一致；非人工签字。</x:v>
      </x:c>
    </x:row>
    <x:row r="426" ht="46" customHeight="1">
      <x:c r="A426" s="6" t="str">
        <x:v>1</x:v>
      </x:c>
      <x:c r="B426" s="6" t="str">
        <x:v>456087c5ee9bc8d23e99</x:v>
      </x:c>
      <x:c r="C426" s="6" t="str">
        <x:v>evidence_approved</x:v>
      </x:c>
      <x:c r="D426" s="6" t="str">
        <x:v>codex-evidence-review-v1</x:v>
      </x:c>
      <x:c r="E426" s="22" t="n">
        <x:v>46244.40206471065</x:v>
      </x:c>
      <x:c r="F426" s="6" t="str">
        <x:v>20</x:v>
      </x:c>
      <x:c r="G426" s="20" t="str">
        <x:v>observed_counterfactual;severe_failure;terminal</x:v>
      </x:c>
      <x:c r="H426" s="20" t="str">
        <x:v>browsergym/miniwob.click-widget</x:v>
      </x:c>
      <x:c r="I426" s="6" t="str">
        <x:v>browsergym/miniwob.click-widget</x:v>
      </x:c>
      <x:c r="J426" s="6" t="str">
        <x:v>cf-click-widget-seed1025-wrong_action_type</x:v>
      </x:c>
      <x:c r="K426" s="6" t="str">
        <x:v>0</x:v>
      </x:c>
      <x:c r="L426" s="20" t="str">
        <x:v>Click on a "checkbox" widget.</x:v>
      </x:c>
      <x:c r="M426" s="20" t="str">
        <x:v>click("21", "left")</x:v>
      </x:c>
      <x:c r="N426" s="6" t="str">
        <x:v>0.0</x:v>
      </x:c>
      <x:c r="O426" s="20" t="str">
        <x:v>file:///root/autodl-tmp/miniwob-plusplus/miniwob/html/miniwob/click-widget.html</x:v>
      </x:c>
      <x:c r="P426" s="20" t="str">
        <x:v>Click Widget Task</x:v>
      </x:c>
      <x:c r="Q426" s="20" t="str">
        <x:v>RootWebArea 'Click Widget Task', focused [14] textbox '' value='z' StaticText 'z' [16] textbox '' value='hS' StaticText 'hS' [18] LabelText '', clickable [19] checkbox 'xB', clickable, checked='false' StaticText 'xB' [21] button 'z' [23] LabelText '', clickable [24] radio 'pK', clickable, checked='false' StaticText 'pK'</x:v>
      </x:c>
      <x:c r="R426" s="20" t="str">
        <x:v>file:///root/autodl-tmp/miniwob-plusplus/miniwob/html/miniwob/click-widget.html</x:v>
      </x:c>
      <x:c r="S426" s="20" t="str">
        <x:v>Click Widget Task</x:v>
      </x:c>
      <x:c r="T426" s="20" t="str">
        <x:v>RootWebArea 'Click Widget Task', focused [14] textbox '' value='z' StaticText 'z' [16] textbox '' value='hS' StaticText 'hS' [18] LabelText '', clickable [19] checkbox 'xB', clickable, checked='false' StaticText 'xB' [21] button 'z', focused [23] LabelText '', clickable [24] radio 'pK', clickable, checked='false' StaticText 'pK'</x:v>
      </x:c>
      <x:c r="U426" s="6" t="str">
        <x:v>0</x:v>
      </x:c>
      <x:c r="V426" s="6" t="str">
        <x:v>0</x:v>
      </x:c>
      <x:c r="W426" s="6" t="str">
        <x:v>0</x:v>
      </x:c>
      <x:c r="X426" s="6" t="str">
        <x:v>1</x:v>
      </x:c>
      <x:c r="Y426" s="6" t="str">
        <x:v>0</x:v>
      </x:c>
      <x:c r="Z426" s="6" t="str">
        <x:v>1</x:v>
      </x:c>
      <x:c r="AA426" s="6" t="str">
        <x:v>0.0</x:v>
      </x:c>
      <x:c r="AB426" s="20" t="str">
        <x:v>Codex证据复核v1：原始记录唯一匹配、环境实测、反事实配对ID完整、终止且非成功、奖励非正、队列标签与结果派生规则一致；非人工签字。</x:v>
      </x:c>
    </x:row>
    <x:row r="427" ht="46" customHeight="1">
      <x:c r="A427" s="6" t="str">
        <x:v>1</x:v>
      </x:c>
      <x:c r="B427" s="6" t="str">
        <x:v>a49313bc32307ecdd89b</x:v>
      </x:c>
      <x:c r="C427" s="6" t="str">
        <x:v>evidence_approved</x:v>
      </x:c>
      <x:c r="D427" s="6" t="str">
        <x:v>codex-evidence-review-v1</x:v>
      </x:c>
      <x:c r="E427" s="22" t="n">
        <x:v>46244.40206471065</x:v>
      </x:c>
      <x:c r="F427" s="6" t="str">
        <x:v>20</x:v>
      </x:c>
      <x:c r="G427" s="20" t="str">
        <x:v>observed_counterfactual;severe_failure;terminal</x:v>
      </x:c>
      <x:c r="H427" s="20" t="str">
        <x:v>browsergym/miniwob.click-menu</x:v>
      </x:c>
      <x:c r="I427" s="6" t="str">
        <x:v>browsergym/miniwob.click-menu</x:v>
      </x:c>
      <x:c r="J427" s="6" t="str">
        <x:v>cf-click-menu-seed1002-hard_wrong_target</x:v>
      </x:c>
      <x:c r="K427" s="6" t="str">
        <x:v>0</x:v>
      </x:c>
      <x:c r="L427" s="20" t="str">
        <x:v>Select Susann&gt;Kali&gt;Alta</x:v>
      </x:c>
      <x:c r="M427" s="20" t="str">
        <x:v>click("21", "left")</x:v>
      </x:c>
      <x:c r="N427" s="6" t="str">
        <x:v>0.0</x:v>
      </x:c>
      <x:c r="O427" s="20" t="str">
        <x:v>file:///root/autodl-tmp/miniwob-plusplus/miniwob/html/miniwob/click-menu.html</x:v>
      </x:c>
      <x:c r="P427" s="20" t="str">
        <x:v>Click Menu Task</x:v>
      </x:c>
      <x:c r="Q427" s="20" t="str">
        <x:v>RootWebArea 'Click Menu Task', focused [17] menu '', clickable, orientation='vertical' image '' [19] menuitem 'Addi' image '' [21] menuitem 'Glynda', hasPopup='menu' image '' [35] menuitem 'Enriqueta' image '' [37] menuitem 'Susann', hasPopup='menu'</x:v>
      </x:c>
      <x:c r="R427" s="20" t="str">
        <x:v>file:///root/autodl-tmp/miniwob-plusplus/miniwob/html/miniwob/click-menu.html</x:v>
      </x:c>
      <x:c r="S427" s="20" t="str">
        <x:v>Click Menu Task</x:v>
      </x:c>
      <x:c r="T427" s="20" t="str">
        <x:v>RootWebArea 'Click Menu Task', focused [17] menu '', clickable, orientation='vertical' image '' [19] menuitem 'Addi' image '' [21] menuitem 'Glynda', hasPopup='menu' [23] menu '', orientation='vertical' image '' [25] menuitem 'Marylee' image '' [27] menuitem 'Trish', hasPopup='menu' image '' [35] menuitem 'Enriqueta' image '' [37] menuitem 'Susann', hasPopup='menu'</x:v>
      </x:c>
      <x:c r="U427" s="6" t="str">
        <x:v>0</x:v>
      </x:c>
      <x:c r="V427" s="6" t="str">
        <x:v>0</x:v>
      </x:c>
      <x:c r="W427" s="6" t="str">
        <x:v>0</x:v>
      </x:c>
      <x:c r="X427" s="6" t="str">
        <x:v>1</x:v>
      </x:c>
      <x:c r="Y427" s="6" t="str">
        <x:v>0</x:v>
      </x:c>
      <x:c r="Z427" s="6" t="str">
        <x:v>1</x:v>
      </x:c>
      <x:c r="AA427" s="6" t="str">
        <x:v>0.0</x:v>
      </x:c>
      <x:c r="AB427" s="20" t="str">
        <x:v>Codex证据复核v1：原始记录唯一匹配、环境实测、反事实配对ID完整、终止且非成功、奖励非正、队列标签与结果派生规则一致；非人工签字。</x:v>
      </x:c>
    </x:row>
    <x:row r="428" ht="46" customHeight="1">
      <x:c r="A428" s="6" t="str">
        <x:v>1</x:v>
      </x:c>
      <x:c r="B428" s="6" t="str">
        <x:v>9115ea1e75aa2f0c4bad</x:v>
      </x:c>
      <x:c r="C428" s="6" t="str">
        <x:v>evidence_approved</x:v>
      </x:c>
      <x:c r="D428" s="6" t="str">
        <x:v>codex-evidence-review-v1</x:v>
      </x:c>
      <x:c r="E428" s="22" t="n">
        <x:v>46244.40206471065</x:v>
      </x:c>
      <x:c r="F428" s="6" t="str">
        <x:v>20</x:v>
      </x:c>
      <x:c r="G428" s="20" t="str">
        <x:v>observed_counterfactual;severe_failure;terminal</x:v>
      </x:c>
      <x:c r="H428" s="20" t="str">
        <x:v>browsergym/miniwob.click-scroll-list</x:v>
      </x:c>
      <x:c r="I428" s="6" t="str">
        <x:v>browsergym/miniwob.click-scroll-list</x:v>
      </x:c>
      <x:c r="J428" s="6" t="str">
        <x:v>cf-click-scroll-list-seed1008-hard_wrong_target</x:v>
      </x:c>
      <x:c r="K428" s="6" t="str">
        <x:v>0</x:v>
      </x:c>
      <x:c r="L428" s="20" t="str">
        <x:v>Select Dominica from the scroll list and click Submit.</x:v>
      </x:c>
      <x:c r="M428" s="20" t="str">
        <x:v>click("25", "left")</x:v>
      </x:c>
      <x:c r="N428" s="6" t="str">
        <x:v>0.0</x:v>
      </x:c>
      <x:c r="O428" s="20" t="str">
        <x:v>file:///root/autodl-tmp/miniwob-plusplus/miniwob/html/miniwob/click-scroll-list.html</x:v>
      </x:c>
      <x:c r="P428" s="20" t="str">
        <x:v>Choose List Task</x:v>
      </x:c>
      <x:c r="Q428" s="20" t="str">
        <x:v>RootWebArea 'Choose List Task', focused [13] listbox '', multiselectable=True, orientation='vertical' [14] option '', selected=False [15] option '', selected=False [16] option '', selected=False [17] option '', selected=False [18] option '', selected=False [25] button 'Submit', clickable</x:v>
      </x:c>
      <x:c r="R428" s="20" t="str">
        <x:v>file:///root/autodl-tmp/miniwob-plusplus/miniwob/html/miniwob/click-scroll-list.html</x:v>
      </x:c>
      <x:c r="S428" s="20" t="str">
        <x:v>Choose List Task</x:v>
      </x:c>
      <x:c r="T428" s="20" t="str">
        <x:v>RootWebArea 'Choose List Task', focused [13] listbox '', multiselectable=True, orientation='vertical' [14] option '', selected=False [15] option '', selected=False [16] option '', selected=False [17] option '', selected=False [18] option '', selected=False [25] button 'Submit', clickable, focused</x:v>
      </x:c>
      <x:c r="U428" s="6" t="str">
        <x:v>0</x:v>
      </x:c>
      <x:c r="V428" s="6" t="str">
        <x:v>0</x:v>
      </x:c>
      <x:c r="W428" s="6" t="str">
        <x:v>0</x:v>
      </x:c>
      <x:c r="X428" s="6" t="str">
        <x:v>1</x:v>
      </x:c>
      <x:c r="Y428" s="6" t="str">
        <x:v>0</x:v>
      </x:c>
      <x:c r="Z428" s="6" t="str">
        <x:v>1</x:v>
      </x:c>
      <x:c r="AA428" s="6" t="str">
        <x:v>0.0</x:v>
      </x:c>
      <x:c r="AB428" s="20" t="str">
        <x:v>Codex证据复核v1：原始记录唯一匹配、环境实测、反事实配对ID完整、终止且非成功、奖励非正、队列标签与结果派生规则一致；非人工签字。</x:v>
      </x:c>
    </x:row>
    <x:row r="429" ht="46" customHeight="1">
      <x:c r="A429" s="6" t="str">
        <x:v>1</x:v>
      </x:c>
      <x:c r="B429" s="6" t="str">
        <x:v>4c4a2505608adf9c4154</x:v>
      </x:c>
      <x:c r="C429" s="6" t="str">
        <x:v>evidence_approved</x:v>
      </x:c>
      <x:c r="D429" s="6" t="str">
        <x:v>codex-evidence-review-v1</x:v>
      </x:c>
      <x:c r="E429" s="22" t="n">
        <x:v>46244.40206471065</x:v>
      </x:c>
      <x:c r="F429" s="6" t="str">
        <x:v>20</x:v>
      </x:c>
      <x:c r="G429" s="20" t="str">
        <x:v>observed_counterfactual;severe_failure;terminal</x:v>
      </x:c>
      <x:c r="H429" s="20" t="str">
        <x:v>browsergym/miniwob.click-widget</x:v>
      </x:c>
      <x:c r="I429" s="6" t="str">
        <x:v>browsergym/miniwob.click-widget</x:v>
      </x:c>
      <x:c r="J429" s="6" t="str">
        <x:v>cf-click-widget-seed1005-missing_target</x:v>
      </x:c>
      <x:c r="K429" s="6" t="str">
        <x:v>0</x:v>
      </x:c>
      <x:c r="L429" s="20" t="str">
        <x:v>Click on a "checkbox" widget.</x:v>
      </x:c>
      <x:c r="M429" s="20" t="str">
        <x:v>click("19", "left")</x:v>
      </x:c>
      <x:c r="N429" s="6" t="str">
        <x:v>0.0</x:v>
      </x:c>
      <x:c r="O429" s="20" t="str">
        <x:v>file:///root/autodl-tmp/miniwob-plusplus/miniwob/html/miniwob/click-widget.html</x:v>
      </x:c>
      <x:c r="P429" s="20" t="str">
        <x:v>Click Widget Task</x:v>
      </x:c>
      <x:c r="Q429" s="20" t="str">
        <x:v>RootWebArea 'Click Widget Task', focused [14] textbox '' value='p', clickable StaticText 'p' [16] LabelText '', clickable [17] radio '5mT', clickable, checked='false' StaticText '5mT' [19] button 'Z' [21] textbox '' value='v' StaticText 'v' [23] LabelText '', clickable [24] checkbox 'Tq', clickable, checked='false' StaticText 'Tq'</x:v>
      </x:c>
      <x:c r="R429" s="20" t="str">
        <x:v>file:///root/autodl-tmp/miniwob-plusplus/miniwob/html/miniwob/click-widget.html</x:v>
      </x:c>
      <x:c r="S429" s="20" t="str">
        <x:v>Click Widget Task</x:v>
      </x:c>
      <x:c r="T429" s="20" t="str">
        <x:v>RootWebArea 'Click Widget Task', focused [14] textbox '' value='p', clickable StaticText 'p' [16] LabelText '', clickable [17] radio '5mT', clickable, checked='false' StaticText '5mT' [19] button 'Z', focused [21] textbox '' value='v' StaticText 'v' [23] LabelText '', clickable [24] checkbox 'Tq', clickable, checked='false' StaticText 'Tq'</x:v>
      </x:c>
      <x:c r="U429" s="6" t="str">
        <x:v>0</x:v>
      </x:c>
      <x:c r="V429" s="6" t="str">
        <x:v>0</x:v>
      </x:c>
      <x:c r="W429" s="6" t="str">
        <x:v>0</x:v>
      </x:c>
      <x:c r="X429" s="6" t="str">
        <x:v>1</x:v>
      </x:c>
      <x:c r="Y429" s="6" t="str">
        <x:v>0</x:v>
      </x:c>
      <x:c r="Z429" s="6" t="str">
        <x:v>1</x:v>
      </x:c>
      <x:c r="AA429" s="6" t="str">
        <x:v>0.0</x:v>
      </x:c>
      <x:c r="AB429" s="20" t="str">
        <x:v>Codex证据复核v1：原始记录唯一匹配、环境实测、反事实配对ID完整、终止且非成功、奖励非正、队列标签与结果派生规则一致；非人工签字。</x:v>
      </x:c>
    </x:row>
    <x:row r="430" ht="46" customHeight="1">
      <x:c r="A430" s="6" t="str">
        <x:v>1</x:v>
      </x:c>
      <x:c r="B430" s="6" t="str">
        <x:v>f18202799f3c7ed04a29</x:v>
      </x:c>
      <x:c r="C430" s="6" t="str">
        <x:v>evidence_approved</x:v>
      </x:c>
      <x:c r="D430" s="6" t="str">
        <x:v>codex-evidence-review-v1</x:v>
      </x:c>
      <x:c r="E430" s="22" t="n">
        <x:v>46244.40206471065</x:v>
      </x:c>
      <x:c r="F430" s="6" t="str">
        <x:v>20</x:v>
      </x:c>
      <x:c r="G430" s="20" t="str">
        <x:v>observed_counterfactual;severe_failure;terminal</x:v>
      </x:c>
      <x:c r="H430" s="20" t="str">
        <x:v>browsergym/miniwob.login-user</x:v>
      </x:c>
      <x:c r="I430" s="6" t="str">
        <x:v>browsergym/miniwob.login-user</x:v>
      </x:c>
      <x:c r="J430" s="6" t="str">
        <x:v>cf-login-user-seed1015-hard_wrong_target</x:v>
      </x:c>
      <x:c r="K430" s="6" t="str">
        <x:v>0</x:v>
      </x:c>
      <x:c r="L430" s="20" t="str">
        <x:v>Enter the username "tora" and the password "ix7lr" into the text fields and press login.</x:v>
      </x:c>
      <x:c r="M430" s="20" t="str">
        <x:v>click("20", "left")</x:v>
      </x:c>
      <x:c r="N430" s="6" t="str">
        <x:v>0.0</x:v>
      </x:c>
      <x:c r="O430" s="20" t="str">
        <x:v>file:///root/autodl-tmp/miniwob-plusplus/miniwob/html/miniwob/login-user.html</x:v>
      </x:c>
      <x:c r="P430" s="20" t="str">
        <x:v>Login User Task</x:v>
      </x:c>
      <x:c r="Q430" s="20" t="str">
        <x:v>RootWebArea 'Login User Task', focused [14] paragraph '' [15] LabelText '' StaticText 'Username' [16] textbox '', clickable [17] paragraph '' [18] LabelText '' StaticText 'Password' [19] textbox '', clickable [20] button 'Login', clickable</x:v>
      </x:c>
      <x:c r="R430" s="20" t="str">
        <x:v>file:///root/autodl-tmp/miniwob-plusplus/miniwob/html/miniwob/login-user.html</x:v>
      </x:c>
      <x:c r="S430" s="20" t="str">
        <x:v>Login User Task</x:v>
      </x:c>
      <x:c r="T430" s="20" t="str">
        <x:v>RootWebArea 'Login User Task', focused [14] paragraph '' [15] LabelText '' StaticText 'Username' [16] textbox '', clickable [17] paragraph '' [18] LabelText '' StaticText 'Password' [19] textbox '', clickable [20] button 'Login', clickable, focused</x:v>
      </x:c>
      <x:c r="U430" s="6" t="str">
        <x:v>0</x:v>
      </x:c>
      <x:c r="V430" s="6" t="str">
        <x:v>0</x:v>
      </x:c>
      <x:c r="W430" s="6" t="str">
        <x:v>0</x:v>
      </x:c>
      <x:c r="X430" s="6" t="str">
        <x:v>1</x:v>
      </x:c>
      <x:c r="Y430" s="6" t="str">
        <x:v>0</x:v>
      </x:c>
      <x:c r="Z430" s="6" t="str">
        <x:v>1</x:v>
      </x:c>
      <x:c r="AA430" s="6" t="str">
        <x:v>0.0</x:v>
      </x:c>
      <x:c r="AB430" s="20" t="str">
        <x:v>Codex证据复核v1：原始记录唯一匹配、环境实测、反事实配对ID完整、终止且非成功、奖励非正、队列标签与结果派生规则一致；非人工签字。</x:v>
      </x:c>
    </x:row>
    <x:row r="431" ht="46" customHeight="1">
      <x:c r="A431" s="6" t="str">
        <x:v>1</x:v>
      </x:c>
      <x:c r="B431" s="6" t="str">
        <x:v>96263e35b67dcc76bdad</x:v>
      </x:c>
      <x:c r="C431" s="6" t="str">
        <x:v>evidence_approved</x:v>
      </x:c>
      <x:c r="D431" s="6" t="str">
        <x:v>codex-evidence-review-v1</x:v>
      </x:c>
      <x:c r="E431" s="22" t="n">
        <x:v>46244.40206471065</x:v>
      </x:c>
      <x:c r="F431" s="6" t="str">
        <x:v>20</x:v>
      </x:c>
      <x:c r="G431" s="20" t="str">
        <x:v>observed_counterfactual;severe_failure;terminal</x:v>
      </x:c>
      <x:c r="H431" s="20" t="str">
        <x:v>browsergym/miniwob.click-widget</x:v>
      </x:c>
      <x:c r="I431" s="6" t="str">
        <x:v>browsergym/miniwob.click-widget</x:v>
      </x:c>
      <x:c r="J431" s="6" t="str">
        <x:v>cf-click-widget-seed1015-hard_wrong_target</x:v>
      </x:c>
      <x:c r="K431" s="6" t="str">
        <x:v>0</x:v>
      </x:c>
      <x:c r="L431" s="20" t="str">
        <x:v>Click on a "radio" widget.</x:v>
      </x:c>
      <x:c r="M431" s="20" t="str">
        <x:v>click("23", "left")</x:v>
      </x:c>
      <x:c r="N431" s="6" t="str">
        <x:v>0.0</x:v>
      </x:c>
      <x:c r="O431" s="20" t="str">
        <x:v>file:///root/autodl-tmp/miniwob-plusplus/miniwob/html/miniwob/click-widget.html</x:v>
      </x:c>
      <x:c r="P431" s="20" t="str">
        <x:v>Click Widget Task</x:v>
      </x:c>
      <x:c r="Q431" s="20" t="str">
        <x:v>RootWebArea 'Click Widget Task', focused [14] textbox '' value='ix7lr', clickable StaticText 'ix7lr' [16] textbox '' value='d1tcH', clickable StaticText 'd1tcH' [18] textbox '' value='Gj2' StaticText 'Gj2' [20] LabelText '', clickable [21] radio 'CoHh', clickable, checked='false' StaticText 'CoHh' [23] button '1'</x:v>
      </x:c>
      <x:c r="R431" s="20" t="str">
        <x:v>file:///root/autodl-tmp/miniwob-plusplus/miniwob/html/miniwob/click-widget.html</x:v>
      </x:c>
      <x:c r="S431" s="20" t="str">
        <x:v>Click Widget Task</x:v>
      </x:c>
      <x:c r="T431" s="20" t="str">
        <x:v>RootWebArea 'Click Widget Task', focused [14] textbox '' value='ix7lr', clickable StaticText 'ix7lr' [16] textbox '' value='d1tcH', clickable StaticText 'd1tcH' [18] textbox '' value='Gj2' StaticText 'Gj2' [20] LabelText '', clickable [21] radio 'CoHh', clickable, checked='false' StaticText 'CoHh' [23] button '1', focused</x:v>
      </x:c>
      <x:c r="U431" s="6" t="str">
        <x:v>0</x:v>
      </x:c>
      <x:c r="V431" s="6" t="str">
        <x:v>0</x:v>
      </x:c>
      <x:c r="W431" s="6" t="str">
        <x:v>0</x:v>
      </x:c>
      <x:c r="X431" s="6" t="str">
        <x:v>1</x:v>
      </x:c>
      <x:c r="Y431" s="6" t="str">
        <x:v>0</x:v>
      </x:c>
      <x:c r="Z431" s="6" t="str">
        <x:v>1</x:v>
      </x:c>
      <x:c r="AA431" s="6" t="str">
        <x:v>0.0</x:v>
      </x:c>
      <x:c r="AB431" s="20" t="str">
        <x:v>Codex证据复核v1：原始记录唯一匹配、环境实测、反事实配对ID完整、终止且非成功、奖励非正、队列标签与结果派生规则一致；非人工签字。</x:v>
      </x:c>
    </x:row>
    <x:row r="432" ht="46" customHeight="1">
      <x:c r="A432" s="6" t="str">
        <x:v>1</x:v>
      </x:c>
      <x:c r="B432" s="6" t="str">
        <x:v>9ac3baf9253cedc12aea</x:v>
      </x:c>
      <x:c r="C432" s="6" t="str">
        <x:v>evidence_approved</x:v>
      </x:c>
      <x:c r="D432" s="6" t="str">
        <x:v>codex-evidence-review-v1</x:v>
      </x:c>
      <x:c r="E432" s="22" t="n">
        <x:v>46244.40206471065</x:v>
      </x:c>
      <x:c r="F432" s="6" t="str">
        <x:v>20</x:v>
      </x:c>
      <x:c r="G432" s="20" t="str">
        <x:v>observed_counterfactual;severe_failure;terminal</x:v>
      </x:c>
      <x:c r="H432" s="20" t="str">
        <x:v>browsergym/miniwob.click-dialog-2</x:v>
      </x:c>
      <x:c r="I432" s="6" t="str">
        <x:v>browsergym/miniwob.click-dialog-2</x:v>
      </x:c>
      <x:c r="J432" s="6" t="str">
        <x:v>cf-click-dialog-2-seed1027-hard_wrong_target</x:v>
      </x:c>
      <x:c r="K432" s="6" t="str">
        <x:v>0</x:v>
      </x:c>
      <x:c r="L432" s="20" t="str">
        <x:v>Click the button in the dialog box labeled "Cancel".</x:v>
      </x:c>
      <x:c r="M432" s="20" t="str">
        <x:v>click("28", "left")</x:v>
      </x:c>
      <x:c r="N432" s="6" t="str">
        <x:v>0.0</x:v>
      </x:c>
      <x:c r="O432" s="20" t="str">
        <x:v>file:///root/autodl-tmp/miniwob-plusplus/miniwob/html/miniwob/click-dialog-2.html</x:v>
      </x:c>
      <x:c r="P432" s="20" t="str">
        <x:v>Click Dialog Task</x:v>
      </x:c>
      <x:c r="Q432" s="20" t="str">
        <x:v>RootWebArea 'Click Dialog Task', focused [17] dialog '', clickable, modal=False, describedby='dialog' StaticText '' [20] button 'Close', clickable [24] paragraph '' StaticText 'Sit. Vestibulum pellentesque leo sed.' [27] button 'Cancel', clickable, focused [28] button 'OK', clickable</x:v>
      </x:c>
      <x:c r="R432" s="20" t="str">
        <x:v>file:///root/autodl-tmp/miniwob-plusplus/miniwob/html/miniwob/click-dialog-2.html</x:v>
      </x:c>
      <x:c r="S432" s="20" t="str">
        <x:v>Click Dialog Task</x:v>
      </x:c>
      <x:c r="T432" s="20" t="str">
        <x:v>RootWebArea 'Click Dialog Task', focused [17] dialog '', clickable, modal=False, describedby='dialog' StaticText '' [20] button 'Close', clickable [24] paragraph '' StaticText 'Sit. Vestibulum pellentesque leo sed.' [27] button 'Cancel', clickable [28] button 'OK', clickable, focused</x:v>
      </x:c>
      <x:c r="U432" s="6" t="str">
        <x:v>0</x:v>
      </x:c>
      <x:c r="V432" s="6" t="str">
        <x:v>0</x:v>
      </x:c>
      <x:c r="W432" s="6" t="str">
        <x:v>0</x:v>
      </x:c>
      <x:c r="X432" s="6" t="str">
        <x:v>1</x:v>
      </x:c>
      <x:c r="Y432" s="6" t="str">
        <x:v>0</x:v>
      </x:c>
      <x:c r="Z432" s="6" t="str">
        <x:v>1</x:v>
      </x:c>
      <x:c r="AA432" s="6" t="str">
        <x:v>0.0</x:v>
      </x:c>
      <x:c r="AB432" s="20" t="str">
        <x:v>Codex证据复核v1：原始记录唯一匹配、环境实测、反事实配对ID完整、终止且非成功、奖励非正、队列标签与结果派生规则一致；非人工签字。</x:v>
      </x:c>
    </x:row>
    <x:row r="433" ht="46" customHeight="1">
      <x:c r="A433" s="6" t="str">
        <x:v>1</x:v>
      </x:c>
      <x:c r="B433" s="6" t="str">
        <x:v>d5f970a981ccd5ff8359</x:v>
      </x:c>
      <x:c r="C433" s="6" t="str">
        <x:v>evidence_approved</x:v>
      </x:c>
      <x:c r="D433" s="6" t="str">
        <x:v>codex-evidence-review-v1</x:v>
      </x:c>
      <x:c r="E433" s="22" t="n">
        <x:v>46244.40206471065</x:v>
      </x:c>
      <x:c r="F433" s="6" t="str">
        <x:v>20</x:v>
      </x:c>
      <x:c r="G433" s="20" t="str">
        <x:v>observed_counterfactual;severe_failure;terminal</x:v>
      </x:c>
      <x:c r="H433" s="20" t="str">
        <x:v>browsergym/miniwob.click-widget</x:v>
      </x:c>
      <x:c r="I433" s="6" t="str">
        <x:v>browsergym/miniwob.click-widget</x:v>
      </x:c>
      <x:c r="J433" s="6" t="str">
        <x:v>cf-click-widget-seed1037-missing_target</x:v>
      </x:c>
      <x:c r="K433" s="6" t="str">
        <x:v>0</x:v>
      </x:c>
      <x:c r="L433" s="20" t="str">
        <x:v>Click on a "text" widget.</x:v>
      </x:c>
      <x:c r="M433" s="20" t="str">
        <x:v>click("17", "left")</x:v>
      </x:c>
      <x:c r="N433" s="6" t="str">
        <x:v>0.0</x:v>
      </x:c>
      <x:c r="O433" s="20" t="str">
        <x:v>file:///root/autodl-tmp/miniwob-plusplus/miniwob/html/miniwob/click-widget.html</x:v>
      </x:c>
      <x:c r="P433" s="20" t="str">
        <x:v>Click Widget Task</x:v>
      </x:c>
      <x:c r="Q433" s="20" t="str">
        <x:v>RootWebArea 'Click Widget Task', focused [14] LabelText '', clickable [15] checkbox 'vLi', clickable, checked='false' StaticText 'vLi' [17] button 'gl' [19] textbox '' value='4oc', clickable StaticText '4oc' [21] textbox '' value='Ncd', clickable StaticText 'Ncd' [23] textbox '' value='zU', clickable StaticText 'zU'</x:v>
      </x:c>
      <x:c r="R433" s="20" t="str">
        <x:v>file:///root/autodl-tmp/miniwob-plusplus/miniwob/html/miniwob/click-widget.html</x:v>
      </x:c>
      <x:c r="S433" s="20" t="str">
        <x:v>Click Widget Task</x:v>
      </x:c>
      <x:c r="T433" s="20" t="str">
        <x:v>RootWebArea 'Click Widget Task', focused [14] LabelText '', clickable [15] checkbox 'vLi', clickable, checked='false' StaticText 'vLi' [17] button 'gl', focused [19] textbox '' value='4oc', clickable StaticText '4oc' [21] textbox '' value='Ncd', clickable StaticText 'Ncd' [23] textbox '' value='zU', clickable StaticText 'zU'</x:v>
      </x:c>
      <x:c r="U433" s="6" t="str">
        <x:v>0</x:v>
      </x:c>
      <x:c r="V433" s="6" t="str">
        <x:v>0</x:v>
      </x:c>
      <x:c r="W433" s="6" t="str">
        <x:v>0</x:v>
      </x:c>
      <x:c r="X433" s="6" t="str">
        <x:v>1</x:v>
      </x:c>
      <x:c r="Y433" s="6" t="str">
        <x:v>0</x:v>
      </x:c>
      <x:c r="Z433" s="6" t="str">
        <x:v>1</x:v>
      </x:c>
      <x:c r="AA433" s="6" t="str">
        <x:v>0.0</x:v>
      </x:c>
      <x:c r="AB433" s="20" t="str">
        <x:v>Codex证据复核v1：原始记录唯一匹配、环境实测、反事实配对ID完整、终止且非成功、奖励非正、队列标签与结果派生规则一致；非人工签字。</x:v>
      </x:c>
    </x:row>
    <x:row r="434" ht="46" customHeight="1">
      <x:c r="A434" s="6" t="str">
        <x:v>1</x:v>
      </x:c>
      <x:c r="B434" s="6" t="str">
        <x:v>cdf8112c20f804b66986</x:v>
      </x:c>
      <x:c r="C434" s="6" t="str">
        <x:v>evidence_approved</x:v>
      </x:c>
      <x:c r="D434" s="6" t="str">
        <x:v>codex-evidence-review-v1</x:v>
      </x:c>
      <x:c r="E434" s="22" t="n">
        <x:v>46244.40206471065</x:v>
      </x:c>
      <x:c r="F434" s="6" t="str">
        <x:v>20</x:v>
      </x:c>
      <x:c r="G434" s="20" t="str">
        <x:v>observed_counterfactual;severe_failure;terminal</x:v>
      </x:c>
      <x:c r="H434" s="20" t="str">
        <x:v>browsergym/miniwob.enter-text-dynamic</x:v>
      </x:c>
      <x:c r="I434" s="6" t="str">
        <x:v>browsergym/miniwob.enter-text-dynamic</x:v>
      </x:c>
      <x:c r="J434" s="6" t="str">
        <x:v>cf-enter-text-dynamic-seed1028-hard_wrong_target</x:v>
      </x:c>
      <x:c r="K434" s="6" t="str">
        <x:v>0</x:v>
      </x:c>
      <x:c r="L434" s="20" t="str">
        <x:v>Enter "6zTu7" into the text field and press Submit.</x:v>
      </x:c>
      <x:c r="M434" s="20" t="str">
        <x:v>click("15", "left")</x:v>
      </x:c>
      <x:c r="N434" s="6" t="str">
        <x:v>0.0</x:v>
      </x:c>
      <x:c r="O434" s="20" t="str">
        <x:v>file:///root/autodl-tmp/miniwob-plusplus/miniwob/html/miniwob/enter-text-dynamic.html</x:v>
      </x:c>
      <x:c r="P434" s="20" t="str">
        <x:v>Enter Dynamic Text Task</x:v>
      </x:c>
      <x:c r="Q434" s="20" t="str">
        <x:v>RootWebArea 'Enter Dynamic Text Task', focused [14] textbox '', clickable [15] button 'Submit', clickable</x:v>
      </x:c>
      <x:c r="R434" s="20" t="str">
        <x:v>file:///root/autodl-tmp/miniwob-plusplus/miniwob/html/miniwob/enter-text-dynamic.html</x:v>
      </x:c>
      <x:c r="S434" s="20" t="str">
        <x:v>Enter Dynamic Text Task</x:v>
      </x:c>
      <x:c r="T434" s="20" t="str">
        <x:v>RootWebArea 'Enter Dynamic Text Task', focused [14] textbox '', clickable [15] button 'Submit', clickable, focused</x:v>
      </x:c>
      <x:c r="U434" s="6" t="str">
        <x:v>0</x:v>
      </x:c>
      <x:c r="V434" s="6" t="str">
        <x:v>0</x:v>
      </x:c>
      <x:c r="W434" s="6" t="str">
        <x:v>0</x:v>
      </x:c>
      <x:c r="X434" s="6" t="str">
        <x:v>1</x:v>
      </x:c>
      <x:c r="Y434" s="6" t="str">
        <x:v>0</x:v>
      </x:c>
      <x:c r="Z434" s="6" t="str">
        <x:v>1</x:v>
      </x:c>
      <x:c r="AA434" s="6" t="str">
        <x:v>0.0</x:v>
      </x:c>
      <x:c r="AB434" s="20" t="str">
        <x:v>Codex证据复核v1：原始记录唯一匹配、环境实测、反事实配对ID完整、终止且非成功、奖励非正、队列标签与结果派生规则一致；非人工签字。</x:v>
      </x:c>
    </x:row>
    <x:row r="435" ht="46" customHeight="1">
      <x:c r="A435" s="6" t="str">
        <x:v>1</x:v>
      </x:c>
      <x:c r="B435" s="6" t="str">
        <x:v>a126ff2e83e106db33ee</x:v>
      </x:c>
      <x:c r="C435" s="6" t="str">
        <x:v>evidence_approved</x:v>
      </x:c>
      <x:c r="D435" s="6" t="str">
        <x:v>codex-evidence-review-v1</x:v>
      </x:c>
      <x:c r="E435" s="22" t="n">
        <x:v>46244.40206471065</x:v>
      </x:c>
      <x:c r="F435" s="6" t="str">
        <x:v>20</x:v>
      </x:c>
      <x:c r="G435" s="20" t="str">
        <x:v>observed_counterfactual;severe_failure;terminal</x:v>
      </x:c>
      <x:c r="H435" s="20" t="str">
        <x:v>browsergym/miniwob.click-menu</x:v>
      </x:c>
      <x:c r="I435" s="6" t="str">
        <x:v>browsergym/miniwob.click-menu</x:v>
      </x:c>
      <x:c r="J435" s="6" t="str">
        <x:v>cf-click-menu-seed1020-wrong_action_type</x:v>
      </x:c>
      <x:c r="K435" s="6" t="str">
        <x:v>0</x:v>
      </x:c>
      <x:c r="L435" s="20" t="str">
        <x:v>Select Evey&gt;Katerina</x:v>
      </x:c>
      <x:c r="M435" s="20" t="str">
        <x:v>click("33", "left")</x:v>
      </x:c>
      <x:c r="N435" s="6" t="str">
        <x:v>0.0</x:v>
      </x:c>
      <x:c r="O435" s="20" t="str">
        <x:v>file:///root/autodl-tmp/miniwob-plusplus/miniwob/html/miniwob/click-menu.html</x:v>
      </x:c>
      <x:c r="P435" s="20" t="str">
        <x:v>Click Menu Task</x:v>
      </x:c>
      <x:c r="Q435" s="20" t="str">
        <x:v>RootWebArea 'Click Menu Task', focused [17] menu '', clickable, orientation='vertical' image '' [19] menuitem 'Vanessa', hasPopup='menu' image '' [33] menuitem 'Evey', hasPopup='menu' image '' [61] menuitem 'Bonita'</x:v>
      </x:c>
      <x:c r="R435" s="20" t="str">
        <x:v>file:///root/autodl-tmp/miniwob-plusplus/miniwob/html/miniwob/click-menu.html</x:v>
      </x:c>
      <x:c r="S435" s="20" t="str">
        <x:v>Click Menu Task</x:v>
      </x:c>
      <x:c r="T435" s="20" t="str">
        <x:v>RootWebArea 'Click Menu Task', focused [17] menu '', clickable, orientation='vertical' image '' [19] menuitem 'Vanessa', hasPopup='menu' image '' [33] menuitem 'Evey', hasPopup='menu' [35] menu '', orientation='vertical' image '' [37] menuitem 'Flora', hasPopup='menu' image '' [45] menuitem 'Zea', hasPopup='menu' image '' [57] menuitem 'Shandy' image '' [59] menuitem 'Katerina' image '' [61] menuitem 'Bonita'</x:v>
      </x:c>
      <x:c r="U435" s="6" t="str">
        <x:v>0</x:v>
      </x:c>
      <x:c r="V435" s="6" t="str">
        <x:v>0</x:v>
      </x:c>
      <x:c r="W435" s="6" t="str">
        <x:v>0</x:v>
      </x:c>
      <x:c r="X435" s="6" t="str">
        <x:v>1</x:v>
      </x:c>
      <x:c r="Y435" s="6" t="str">
        <x:v>0</x:v>
      </x:c>
      <x:c r="Z435" s="6" t="str">
        <x:v>1</x:v>
      </x:c>
      <x:c r="AA435" s="6" t="str">
        <x:v>0.0</x:v>
      </x:c>
      <x:c r="AB435" s="20" t="str">
        <x:v>Codex证据复核v1：原始记录唯一匹配、环境实测、反事实配对ID完整、终止且非成功、奖励非正、队列标签与结果派生规则一致；非人工签字。</x:v>
      </x:c>
    </x:row>
    <x:row r="436" ht="46" customHeight="1">
      <x:c r="A436" s="6" t="str">
        <x:v>1</x:v>
      </x:c>
      <x:c r="B436" s="6" t="str">
        <x:v>3b2eddd369693bacc4b9</x:v>
      </x:c>
      <x:c r="C436" s="6" t="str">
        <x:v>evidence_approved</x:v>
      </x:c>
      <x:c r="D436" s="6" t="str">
        <x:v>codex-evidence-review-v1</x:v>
      </x:c>
      <x:c r="E436" s="22" t="n">
        <x:v>46244.40206471065</x:v>
      </x:c>
      <x:c r="F436" s="6" t="str">
        <x:v>20</x:v>
      </x:c>
      <x:c r="G436" s="20" t="str">
        <x:v>observed_counterfactual;severe_failure;terminal</x:v>
      </x:c>
      <x:c r="H436" s="20" t="str">
        <x:v>browsergym/miniwob.click-tab</x:v>
      </x:c>
      <x:c r="I436" s="6" t="str">
        <x:v>browsergym/miniwob.click-tab</x:v>
      </x:c>
      <x:c r="J436" s="6" t="str">
        <x:v>cf-click-tab-seed1037-hard_wrong_target</x:v>
      </x:c>
      <x:c r="K436" s="6" t="str">
        <x:v>0</x:v>
      </x:c>
      <x:c r="L436" s="20" t="str">
        <x:v>Click on Tab #3.</x:v>
      </x:c>
      <x:c r="M436" s="20" t="str">
        <x:v>click("19", "left")</x:v>
      </x:c>
      <x:c r="N436" s="6" t="str">
        <x:v>0.0</x:v>
      </x:c>
      <x:c r="O436" s="20" t="str">
        <x:v>file:///root/autodl-tmp/miniwob-plusplus/miniwob/html/miniwob/click-tab.html</x:v>
      </x:c>
      <x:c r="P436" s="20" t="str">
        <x:v>Click Tab Task</x:v>
      </x:c>
      <x:c r="Q436"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'Proin massa. Pellentesque consequat, nulla adipiscing. Duis cras augue ut viverra fames tortor. Sit nunc faucibus scelerisque vitae eu, eget.'</x:v>
      </x:c>
      <x:c r="R436" s="20" t="str">
        <x:v>file:///root/autodl-tmp/miniwob-plusplus/miniwob/html/miniwob/click-tab.html</x:v>
      </x:c>
      <x:c r="S436" s="20" t="str">
        <x:v>Click Tab Task</x:v>
      </x:c>
      <x:c r="T436" s="20" t="str">
        <x:v>RootWebArea 'Click Tab Task', focused [17] tablist '', clickable, multiselectable=False, orientation='horizontal' [18] tab 'Tab #1', expanded=True, selected=True, controls='tabs-1' [19] link 'Tab #1', clickable, focused [20] tab 'Tab #2', expanded=False, selected=False, controls='tabs-2' [21] link 'Tab #2', clickable [22] tab 'Tab #3', expanded=False, selected=False, controls='tabs-3' [23] link 'Tab #3', clickable [24] tabpanel 'Tab #1' [25] paragraph '' StaticText 'Proin massa. Pellentesque consequat, nulla adipiscing. Duis cras augue ut viverra fames tortor. Sit nunc faucibus scelerisque vitae eu, eget.'</x:v>
      </x:c>
      <x:c r="U436" s="6" t="str">
        <x:v>0</x:v>
      </x:c>
      <x:c r="V436" s="6" t="str">
        <x:v>0</x:v>
      </x:c>
      <x:c r="W436" s="6" t="str">
        <x:v>0</x:v>
      </x:c>
      <x:c r="X436" s="6" t="str">
        <x:v>1</x:v>
      </x:c>
      <x:c r="Y436" s="6" t="str">
        <x:v>0</x:v>
      </x:c>
      <x:c r="Z436" s="6" t="str">
        <x:v>1</x:v>
      </x:c>
      <x:c r="AA436" s="6" t="str">
        <x:v>0.0</x:v>
      </x:c>
      <x:c r="AB436" s="20" t="str">
        <x:v>Codex证据复核v1：原始记录唯一匹配、环境实测、反事实配对ID完整、终止且非成功、奖励非正、队列标签与结果派生规则一致；非人工签字。</x:v>
      </x:c>
    </x:row>
    <x:row r="437" ht="46" customHeight="1">
      <x:c r="A437" s="6" t="str">
        <x:v>1</x:v>
      </x:c>
      <x:c r="B437" s="6" t="str">
        <x:v>678a4eba376d96c7e700</x:v>
      </x:c>
      <x:c r="C437" s="6" t="str">
        <x:v>evidence_approved</x:v>
      </x:c>
      <x:c r="D437" s="6" t="str">
        <x:v>codex-evidence-review-v1</x:v>
      </x:c>
      <x:c r="E437" s="22" t="n">
        <x:v>46244.40206471065</x:v>
      </x:c>
      <x:c r="F437" s="6" t="str">
        <x:v>20</x:v>
      </x:c>
      <x:c r="G437" s="20" t="str">
        <x:v>observed_counterfactual;severe_failure;terminal</x:v>
      </x:c>
      <x:c r="H437" s="20" t="str">
        <x:v>browsergym/miniwob.click-test-2</x:v>
      </x:c>
      <x:c r="I437" s="6" t="str">
        <x:v>browsergym/miniwob.click-test-2</x:v>
      </x:c>
      <x:c r="J437" s="6" t="str">
        <x:v>cf-click-test-2-seed1024-hard_wrong_target</x:v>
      </x:c>
      <x:c r="K437" s="6" t="str">
        <x:v>0</x:v>
      </x:c>
      <x:c r="L437" s="20" t="str">
        <x:v>Click button ONE.</x:v>
      </x:c>
      <x:c r="M437" s="20" t="str">
        <x:v>click("14", "left")</x:v>
      </x:c>
      <x:c r="N437" s="6" t="str">
        <x:v>0.0</x:v>
      </x:c>
      <x:c r="O437" s="20" t="str">
        <x:v>file:///root/autodl-tmp/miniwob-plusplus/miniwob/html/miniwob/click-test-2.html</x:v>
      </x:c>
      <x:c r="P437" s="20" t="str">
        <x:v>Click Test Task</x:v>
      </x:c>
      <x:c r="Q437" s="20" t="str">
        <x:v>RootWebArea 'Click Test Task', focused [13] button 'ONE', clickable [14] button 'TWO', clickable</x:v>
      </x:c>
      <x:c r="R437" s="20" t="str">
        <x:v>file:///root/autodl-tmp/miniwob-plusplus/miniwob/html/miniwob/click-test-2.html</x:v>
      </x:c>
      <x:c r="S437" s="20" t="str">
        <x:v>Click Test Task</x:v>
      </x:c>
      <x:c r="T437" s="20" t="str">
        <x:v>RootWebArea 'Click Test Task', focused [13] button 'ONE', clickable [14] button 'TWO', clickable, focused</x:v>
      </x:c>
      <x:c r="U437" s="6" t="str">
        <x:v>0</x:v>
      </x:c>
      <x:c r="V437" s="6" t="str">
        <x:v>0</x:v>
      </x:c>
      <x:c r="W437" s="6" t="str">
        <x:v>0</x:v>
      </x:c>
      <x:c r="X437" s="6" t="str">
        <x:v>1</x:v>
      </x:c>
      <x:c r="Y437" s="6" t="str">
        <x:v>0</x:v>
      </x:c>
      <x:c r="Z437" s="6" t="str">
        <x:v>1</x:v>
      </x:c>
      <x:c r="AA437" s="6" t="str">
        <x:v>0.0</x:v>
      </x:c>
      <x:c r="AB437" s="20" t="str">
        <x:v>Codex证据复核v1：原始记录唯一匹配、环境实测、反事实配对ID完整、终止且非成功、奖励非正、队列标签与结果派生规则一致；非人工签字。</x:v>
      </x:c>
    </x:row>
    <x:row r="438" ht="46" customHeight="1">
      <x:c r="A438" s="6" t="str">
        <x:v>1</x:v>
      </x:c>
      <x:c r="B438" s="6" t="str">
        <x:v>8f9aba661fb3b7a7011e</x:v>
      </x:c>
      <x:c r="C438" s="6" t="str">
        <x:v>evidence_approved</x:v>
      </x:c>
      <x:c r="D438" s="6" t="str">
        <x:v>codex-evidence-review-v1</x:v>
      </x:c>
      <x:c r="E438" s="22" t="n">
        <x:v>46244.40206471065</x:v>
      </x:c>
      <x:c r="F438" s="6" t="str">
        <x:v>20</x:v>
      </x:c>
      <x:c r="G438" s="20" t="str">
        <x:v>observed_counterfactual;severe_failure;terminal</x:v>
      </x:c>
      <x:c r="H438" s="20" t="str">
        <x:v>browsergym/miniwob.enter-text-2</x:v>
      </x:c>
      <x:c r="I438" s="6" t="str">
        <x:v>browsergym/miniwob.enter-text-2</x:v>
      </x:c>
      <x:c r="J438" s="6" t="str">
        <x:v>cf-enter-text-2-seed1035-hard_wrong_target</x:v>
      </x:c>
      <x:c r="K438" s="6" t="str">
        <x:v>0</x:v>
      </x:c>
      <x:c r="L438" s="20" t="str">
        <x:v>Type "kenda" in all upper case letters in the text input and press Submit.</x:v>
      </x:c>
      <x:c r="M438" s="20" t="str">
        <x:v>click("15", "left")</x:v>
      </x:c>
      <x:c r="N438" s="6" t="str">
        <x:v>0.0</x:v>
      </x:c>
      <x:c r="O438" s="20" t="str">
        <x:v>file:///root/autodl-tmp/miniwob-plusplus/miniwob/html/miniwob/enter-text-2.html</x:v>
      </x:c>
      <x:c r="P438" s="20" t="str">
        <x:v>Enter Text Task</x:v>
      </x:c>
      <x:c r="Q438" s="20" t="str">
        <x:v>RootWebArea 'Enter Text Task', focused [14] textbox '', clickable [15] button 'Submit', clickable</x:v>
      </x:c>
      <x:c r="R438" s="20" t="str">
        <x:v>file:///root/autodl-tmp/miniwob-plusplus/miniwob/html/miniwob/enter-text-2.html</x:v>
      </x:c>
      <x:c r="S438" s="20" t="str">
        <x:v>Enter Text Task</x:v>
      </x:c>
      <x:c r="T438" s="20" t="str">
        <x:v>RootWebArea 'Enter Text Task', focused [14] textbox '', clickable [15] button 'Submit', clickable, focused</x:v>
      </x:c>
      <x:c r="U438" s="6" t="str">
        <x:v>0</x:v>
      </x:c>
      <x:c r="V438" s="6" t="str">
        <x:v>0</x:v>
      </x:c>
      <x:c r="W438" s="6" t="str">
        <x:v>0</x:v>
      </x:c>
      <x:c r="X438" s="6" t="str">
        <x:v>1</x:v>
      </x:c>
      <x:c r="Y438" s="6" t="str">
        <x:v>0</x:v>
      </x:c>
      <x:c r="Z438" s="6" t="str">
        <x:v>1</x:v>
      </x:c>
      <x:c r="AA438" s="6" t="str">
        <x:v>0.0</x:v>
      </x:c>
      <x:c r="AB438" s="20" t="str">
        <x:v>Codex证据复核v1：原始记录唯一匹配、环境实测、反事实配对ID完整、终止且非成功、奖励非正、队列标签与结果派生规则一致；非人工签字。</x:v>
      </x:c>
    </x:row>
    <x:row r="439" ht="46" customHeight="1">
      <x:c r="A439" s="6" t="str">
        <x:v>1</x:v>
      </x:c>
      <x:c r="B439" s="6" t="str">
        <x:v>f82078515f211e4a189c</x:v>
      </x:c>
      <x:c r="C439" s="6" t="str">
        <x:v>evidence_approved</x:v>
      </x:c>
      <x:c r="D439" s="6" t="str">
        <x:v>codex-evidence-review-v1</x:v>
      </x:c>
      <x:c r="E439" s="22" t="n">
        <x:v>46244.40206471065</x:v>
      </x:c>
      <x:c r="F439" s="6" t="str">
        <x:v>20</x:v>
      </x:c>
      <x:c r="G439" s="20" t="str">
        <x:v>observed_counterfactual;severe_failure;terminal</x:v>
      </x:c>
      <x:c r="H439" s="20" t="str">
        <x:v>browsergym/miniwob.scroll-text</x:v>
      </x:c>
      <x:c r="I439" s="6" t="str">
        <x:v>browsergym/miniwob.scroll-text</x:v>
      </x:c>
      <x:c r="J439" s="6" t="str">
        <x:v>cf-scroll-text-seed1032-hard_wrong_target</x:v>
      </x:c>
      <x:c r="K439" s="6" t="str">
        <x:v>0</x:v>
      </x:c>
      <x:c r="L439" s="20" t="str">
        <x:v>Find the last word in the text area, enter it into the text field and hit Submit.</x:v>
      </x:c>
      <x:c r="M439" s="20" t="str">
        <x:v>click("15", "left")</x:v>
      </x:c>
      <x:c r="N439" s="6" t="str">
        <x:v>0.0</x:v>
      </x:c>
      <x:c r="O439" s="20" t="str">
        <x:v>file:///root/autodl-tmp/miniwob-plusplus/miniwob/html/miniwob/scroll-text.html</x:v>
      </x:c>
      <x:c r="P439" s="20" t="str">
        <x:v>Scroll Text Task</x:v>
      </x:c>
      <x:c r="Q439" s="20" t="str">
        <x:v>RootWebArea 'Scroll Text Task', focused [13] textbox '' value='Leo. Vitae porttitor non. In mauris ut. Eu maecenas iaculis platea nisl condimentum. Ut sed fusce metus, proin mauris aenean vulputate sapien. Amet varius aliquam tortor. Donec quam nulla. Maecenas. Est, eu sed. Aenean. Nunc,. Viverra netus. Et. Amet, mi at sagittis purus. Ultrices ut felis. Eget cursus non mauris massa, imperdiet. Accumsan lobortis. Semper non molestie a porttitor non tellus donec lacinia amet gravida malesuada rhoncus nulla aliquam neque sollicitudin. Pretium. Cursus fringilla. Vitae sit ultrices neque. Sapien dignissim amet, consequat, velit accums… StaticText 'Leo. Vitae porttitor non. In mauris ut. Eu maecenas iaculis platea nisl condimentum. Ut sed fusce metus, proin mauris aenean vulputate sapien. Amet varius aliquam tortor. Donec quam nulla. Maecenas. Est, eu sed. Aenean. Nunc,. Viverra netus. Et. Am…</x:v>
      </x:c>
      <x:c r="R439" s="20" t="str">
        <x:v>file:///root/autodl-tmp/miniwob-plusplus/miniwob/html/miniwob/scroll-text.html</x:v>
      </x:c>
      <x:c r="S439" s="20" t="str">
        <x:v>Scroll Text Task</x:v>
      </x:c>
      <x:c r="T439" s="20" t="str">
        <x:v>RootWebArea 'Scroll Text Task', focused [13] textbox '' value='Leo. Vitae porttitor non. In mauris ut. Eu maecenas iaculis platea nisl condimentum. Ut sed fusce metus, proin mauris aenean vulputate sapien. Amet varius aliquam tortor. Donec quam nulla. Maecenas. Est, eu sed. Aenean. Nunc,. Viverra netus. Et. Amet, mi at sagittis purus. Ultrices ut felis. Eget cursus non mauris massa, imperdiet. Accumsan lobortis. Semper non molestie a porttitor non tellus donec lacinia amet gravida malesuada rhoncus nulla aliquam neque sollicitudin. Pretium. Cursus fringilla. Vitae sit ultrices neque. Sapien dignissim amet, consequat, velit accums… StaticText 'Leo. Vitae porttitor non. In mauris ut. Eu maecenas iaculis platea nisl condimentum. Ut sed fusce metus, proin mauris aenean vulputate sapien. Amet varius aliquam tortor. Donec quam nulla. Maecenas. Est, eu sed. Aenean. Nunc,. Viverra netus. Et. Am…</x:v>
      </x:c>
      <x:c r="U439" s="6" t="str">
        <x:v>0</x:v>
      </x:c>
      <x:c r="V439" s="6" t="str">
        <x:v>0</x:v>
      </x:c>
      <x:c r="W439" s="6" t="str">
        <x:v>0</x:v>
      </x:c>
      <x:c r="X439" s="6" t="str">
        <x:v>1</x:v>
      </x:c>
      <x:c r="Y439" s="6" t="str">
        <x:v>0</x:v>
      </x:c>
      <x:c r="Z439" s="6" t="str">
        <x:v>1</x:v>
      </x:c>
      <x:c r="AA439" s="6" t="str">
        <x:v>0.0</x:v>
      </x:c>
      <x:c r="AB439" s="20" t="str">
        <x:v>Codex证据复核v1：原始记录唯一匹配、环境实测、反事实配对ID完整、终止且非成功、奖励非正、队列标签与结果派生规则一致；非人工签字。</x:v>
      </x:c>
    </x:row>
    <x:row r="440" ht="46" customHeight="1">
      <x:c r="A440" s="6" t="str">
        <x:v>1</x:v>
      </x:c>
      <x:c r="B440" s="6" t="str">
        <x:v>f0ddcefbf5bcc9ab7dc8</x:v>
      </x:c>
      <x:c r="C440" s="6" t="str">
        <x:v>evidence_approved</x:v>
      </x:c>
      <x:c r="D440" s="6" t="str">
        <x:v>codex-evidence-review-v1</x:v>
      </x:c>
      <x:c r="E440" s="22" t="n">
        <x:v>46244.40206471065</x:v>
      </x:c>
      <x:c r="F440" s="6" t="str">
        <x:v>20</x:v>
      </x:c>
      <x:c r="G440" s="20" t="str">
        <x:v>observed_counterfactual;severe_failure;terminal</x:v>
      </x:c>
      <x:c r="H440" s="20" t="str">
        <x:v>browsergym/miniwob.scroll-text</x:v>
      </x:c>
      <x:c r="I440" s="6" t="str">
        <x:v>browsergym/miniwob.scroll-text</x:v>
      </x:c>
      <x:c r="J440" s="6" t="str">
        <x:v>cf-scroll-text-seed1026-hard_wrong_target</x:v>
      </x:c>
      <x:c r="K440" s="6" t="str">
        <x:v>0</x:v>
      </x:c>
      <x:c r="L440" s="20" t="str">
        <x:v>Find the last word in the text area, enter it into the text field and hit Submit.</x:v>
      </x:c>
      <x:c r="M440" s="20" t="str">
        <x:v>click("15", "left")</x:v>
      </x:c>
      <x:c r="N440" s="6" t="str">
        <x:v>0.0</x:v>
      </x:c>
      <x:c r="O440" s="20" t="str">
        <x:v>file:///root/autodl-tmp/miniwob-plusplus/miniwob/html/miniwob/scroll-text.html</x:v>
      </x:c>
      <x:c r="P440" s="20" t="str">
        <x:v>Scroll Text Task</x:v>
      </x:c>
      <x:c r="Q440" s="20" t="str">
        <x:v>RootWebArea 'Scroll Text Task', focused [13] textbox '' value='Mi consequat quisque et,. Amet,. Eros imperdiet pretium ultrices posuere. Ac neque eget at. Nascetur diam id neque, tellus. Amet ut duis sem nunc,. Egestas libero, enim. Habitant. Pellentesque donec scelerisque eget et. Nunc, egestas ut duis odio diam semper tellus mauris urna tristique ac. Quisque elit id nisl, tempus netus interdum id nisl, libero nascetur. Libero id ultrices pretium quam sit id aliquet ut mauris, aliquam lorem facilisis. Vulputate dignissim penatibus. Est dictum id at pellentesque. Eget. Proin malesuada. At. Nunc aliquet molestie dignissim nunc est… StaticText 'Mi consequat quisque et,. Amet,. Eros imperdiet pretium ultrices posuere. Ac neque eget at. Nascetur diam id neque, tellus. Amet ut duis sem nunc,. Egestas libero, enim. Habitant. Pellentesque donec scelerisque eget et. Nunc, egestas ut duis odio d…</x:v>
      </x:c>
      <x:c r="R440" s="20" t="str">
        <x:v>file:///root/autodl-tmp/miniwob-plusplus/miniwob/html/miniwob/scroll-text.html</x:v>
      </x:c>
      <x:c r="S440" s="20" t="str">
        <x:v>Scroll Text Task</x:v>
      </x:c>
      <x:c r="T440" s="20" t="str">
        <x:v>RootWebArea 'Scroll Text Task', focused [13] textbox '' value='Mi consequat quisque et,. Amet,. Eros imperdiet pretium ultrices posuere. Ac neque eget at. Nascetur diam id neque, tellus. Amet ut duis sem nunc,. Egestas libero, enim. Habitant. Pellentesque donec scelerisque eget et. Nunc, egestas ut duis odio diam semper tellus mauris urna tristique ac. Quisque elit id nisl, tempus netus interdum id nisl, libero nascetur. Libero id ultrices pretium quam sit id aliquet ut mauris, aliquam lorem facilisis. Vulputate dignissim penatibus. Est dictum id at pellentesque. Eget. Proin malesuada. At. Nunc aliquet molestie dignissim nunc est… StaticText 'Mi consequat quisque et,. Amet,. Eros imperdiet pretium ultrices posuere. Ac neque eget at. Nascetur diam id neque, tellus. Amet ut duis sem nunc,. Egestas libero, enim. Habitant. Pellentesque donec scelerisque eget et. Nunc, egestas ut duis odio d…</x:v>
      </x:c>
      <x:c r="U440" s="6" t="str">
        <x:v>0</x:v>
      </x:c>
      <x:c r="V440" s="6" t="str">
        <x:v>0</x:v>
      </x:c>
      <x:c r="W440" s="6" t="str">
        <x:v>0</x:v>
      </x:c>
      <x:c r="X440" s="6" t="str">
        <x:v>1</x:v>
      </x:c>
      <x:c r="Y440" s="6" t="str">
        <x:v>0</x:v>
      </x:c>
      <x:c r="Z440" s="6" t="str">
        <x:v>1</x:v>
      </x:c>
      <x:c r="AA440" s="6" t="str">
        <x:v>0.0</x:v>
      </x:c>
      <x:c r="AB440" s="20" t="str">
        <x:v>Codex证据复核v1：原始记录唯一匹配、环境实测、反事实配对ID完整、终止且非成功、奖励非正、队列标签与结果派生规则一致；非人工签字。</x:v>
      </x:c>
    </x:row>
    <x:row r="441" ht="46" customHeight="1">
      <x:c r="A441" s="6" t="str">
        <x:v>1</x:v>
      </x:c>
      <x:c r="B441" s="6" t="str">
        <x:v>a8433e448fc6828968dd</x:v>
      </x:c>
      <x:c r="C441" s="6" t="str">
        <x:v>evidence_approved</x:v>
      </x:c>
      <x:c r="D441" s="6" t="str">
        <x:v>codex-evidence-review-v1</x:v>
      </x:c>
      <x:c r="E441" s="22" t="n">
        <x:v>46244.40206471065</x:v>
      </x:c>
      <x:c r="F441" s="6" t="str">
        <x:v>20</x:v>
      </x:c>
      <x:c r="G441" s="20" t="str">
        <x:v>observed_counterfactual;severe_failure;terminal</x:v>
      </x:c>
      <x:c r="H441" s="20" t="str">
        <x:v>browsergym/miniwob.click-menu</x:v>
      </x:c>
      <x:c r="I441" s="6" t="str">
        <x:v>browsergym/miniwob.click-menu</x:v>
      </x:c>
      <x:c r="J441" s="6" t="str">
        <x:v>cf-click-menu-seed1005-hard_wrong_target</x:v>
      </x:c>
      <x:c r="K441" s="6" t="str">
        <x:v>0</x:v>
      </x:c>
      <x:c r="L441" s="20" t="str">
        <x:v>Select Penelopa&gt;Maureen</x:v>
      </x:c>
      <x:c r="M441" s="20" t="str">
        <x:v>click("31", "left")</x:v>
      </x:c>
      <x:c r="N441" s="6" t="str">
        <x:v>0.0</x:v>
      </x:c>
      <x:c r="O441" s="20" t="str">
        <x:v>file:///root/autodl-tmp/miniwob-plusplus/miniwob/html/miniwob/click-menu.html</x:v>
      </x:c>
      <x:c r="P441" s="20" t="str">
        <x:v>Click Menu Task</x:v>
      </x:c>
      <x:c r="Q441" s="20" t="str">
        <x:v>RootWebArea 'Click Menu Task', focused [17] menu '', clickable, orientation='vertical' image '' [19] menuitem 'Cinnamon' image '' [21] menuitem 'Lina', hasPopup='menu' image '' [31] menuitem 'Penelopa', hasPopup='menu' image '' [61] menuitem 'Yetta'</x:v>
      </x:c>
      <x:c r="R441" s="20" t="str">
        <x:v>file:///root/autodl-tmp/miniwob-plusplus/miniwob/html/miniwob/click-menu.html</x:v>
      </x:c>
      <x:c r="S441" s="20" t="str">
        <x:v>Click Menu Task</x:v>
      </x:c>
      <x:c r="T441" s="20" t="str">
        <x:v>RootWebArea 'Click Menu Task', focused [17] menu '', clickable, orientation='vertical' image '' [19] menuitem 'Cinnamon' image '' [21] menuitem 'Lina', hasPopup='menu' image '' [31] menuitem 'Penelopa', hasPopup='menu' [33] menu '', orientation='vertical' image '' [35] menuitem 'Maureen' image '' [37] menuitem 'Beatrix' image '' [39] menuitem 'Querida', hasPopup='menu' image '' [51] menuitem 'Myrna', hasPopup='menu' image '' [61] menuitem 'Yetta'</x:v>
      </x:c>
      <x:c r="U441" s="6" t="str">
        <x:v>0</x:v>
      </x:c>
      <x:c r="V441" s="6" t="str">
        <x:v>0</x:v>
      </x:c>
      <x:c r="W441" s="6" t="str">
        <x:v>0</x:v>
      </x:c>
      <x:c r="X441" s="6" t="str">
        <x:v>1</x:v>
      </x:c>
      <x:c r="Y441" s="6" t="str">
        <x:v>0</x:v>
      </x:c>
      <x:c r="Z441" s="6" t="str">
        <x:v>1</x:v>
      </x:c>
      <x:c r="AA441" s="6" t="str">
        <x:v>0.0</x:v>
      </x:c>
      <x:c r="AB441" s="20" t="str">
        <x:v>Codex证据复核v1：原始记录唯一匹配、环境实测、反事实配对ID完整、终止且非成功、奖励非正、队列标签与结果派生规则一致；非人工签字。</x:v>
      </x:c>
    </x:row>
    <x:row r="442" ht="46" customHeight="1">
      <x:c r="A442" s="6" t="str">
        <x:v>1</x:v>
      </x:c>
      <x:c r="B442" s="6" t="str">
        <x:v>ebbd8cad631404549887</x:v>
      </x:c>
      <x:c r="C442" s="6" t="str">
        <x:v>evidence_approved</x:v>
      </x:c>
      <x:c r="D442" s="6" t="str">
        <x:v>codex-evidence-review-v1</x:v>
      </x:c>
      <x:c r="E442" s="22" t="n">
        <x:v>46244.40206471065</x:v>
      </x:c>
      <x:c r="F442" s="6" t="str">
        <x:v>20</x:v>
      </x:c>
      <x:c r="G442" s="20" t="str">
        <x:v>observed_counterfactual;severe_failure;terminal</x:v>
      </x:c>
      <x:c r="H442" s="20" t="str">
        <x:v>browsergym/miniwob.choose-list</x:v>
      </x:c>
      <x:c r="I442" s="6" t="str">
        <x:v>browsergym/miniwob.choose-list</x:v>
      </x:c>
      <x:c r="J442" s="6" t="str">
        <x:v>cf-choose-list-seed1007-wrong_action_type</x:v>
      </x:c>
      <x:c r="K442" s="6" t="str">
        <x:v>0</x:v>
      </x:c>
      <x:c r="L442" s="20" t="str">
        <x:v>Select Trinidad and Tobago from the list and click Submit.</x:v>
      </x:c>
      <x:c r="M442" s="20" t="str">
        <x:v>click("19", "left")</x:v>
      </x:c>
      <x:c r="N442" s="6" t="str">
        <x:v>0.0</x:v>
      </x:c>
      <x:c r="O442" s="20" t="str">
        <x:v>file:///root/autodl-tmp/miniwob-plusplus/miniwob/html/miniwob/choose-list.html</x:v>
      </x:c>
      <x:c r="P442" s="20" t="str">
        <x:v>Choose List Task</x:v>
      </x:c>
      <x:c r="Q442" s="20" t="str">
        <x:v>RootWebArea 'Choose List Task', focused [13] combobox '' value='Namibia', hasPopup='menu', expanded=False [19] button 'Submit', clickable</x:v>
      </x:c>
      <x:c r="R442" s="20" t="str">
        <x:v>file:///root/autodl-tmp/miniwob-plusplus/miniwob/html/miniwob/choose-list.html</x:v>
      </x:c>
      <x:c r="S442" s="20" t="str">
        <x:v>Choose List Task</x:v>
      </x:c>
      <x:c r="T442" s="20" t="str">
        <x:v>RootWebArea 'Choose List Task', focused [13] combobox '' value='Namibia', hasPopup='menu', expanded=False [19] button 'Submit', clickable, focused</x:v>
      </x:c>
      <x:c r="U442" s="6" t="str">
        <x:v>0</x:v>
      </x:c>
      <x:c r="V442" s="6" t="str">
        <x:v>0</x:v>
      </x:c>
      <x:c r="W442" s="6" t="str">
        <x:v>0</x:v>
      </x:c>
      <x:c r="X442" s="6" t="str">
        <x:v>1</x:v>
      </x:c>
      <x:c r="Y442" s="6" t="str">
        <x:v>0</x:v>
      </x:c>
      <x:c r="Z442" s="6" t="str">
        <x:v>1</x:v>
      </x:c>
      <x:c r="AA442" s="6" t="str">
        <x:v>0.0</x:v>
      </x:c>
      <x:c r="AB442" s="20" t="str">
        <x:v>Codex证据复核v1：原始记录唯一匹配、环境实测、反事实配对ID完整、终止且非成功、奖励非正、队列标签与结果派生规则一致；非人工签字。</x:v>
      </x:c>
    </x:row>
    <x:row r="443" ht="46" customHeight="1">
      <x:c r="A443" s="6" t="str">
        <x:v>1</x:v>
      </x:c>
      <x:c r="B443" s="6" t="str">
        <x:v>ea302a67d5d821a4388f</x:v>
      </x:c>
      <x:c r="C443" s="6" t="str">
        <x:v>evidence_approved</x:v>
      </x:c>
      <x:c r="D443" s="6" t="str">
        <x:v>codex-evidence-review-v1</x:v>
      </x:c>
      <x:c r="E443" s="22" t="n">
        <x:v>46244.40206471065</x:v>
      </x:c>
      <x:c r="F443" s="6" t="str">
        <x:v>20</x:v>
      </x:c>
      <x:c r="G443" s="20" t="str">
        <x:v>observed_counterfactual;severe_failure;terminal</x:v>
      </x:c>
      <x:c r="H443" s="20" t="str">
        <x:v>browsergym/miniwob.click-dialog-2</x:v>
      </x:c>
      <x:c r="I443" s="6" t="str">
        <x:v>browsergym/miniwob.click-dialog-2</x:v>
      </x:c>
      <x:c r="J443" s="6" t="str">
        <x:v>cf-click-dialog-2-seed1030-missing_target</x:v>
      </x:c>
      <x:c r="K443" s="6" t="str">
        <x:v>0</x:v>
      </x:c>
      <x:c r="L443" s="20" t="str">
        <x:v>Click the button in the dialog box labeled "x".</x:v>
      </x:c>
      <x:c r="M443" s="20" t="str">
        <x:v>click("28", "left")</x:v>
      </x:c>
      <x:c r="N443" s="6" t="str">
        <x:v>0.0</x:v>
      </x:c>
      <x:c r="O443" s="20" t="str">
        <x:v>file:///root/autodl-tmp/miniwob-plusplus/miniwob/html/miniwob/click-dialog-2.html</x:v>
      </x:c>
      <x:c r="P443" s="20" t="str">
        <x:v>Click Dialog Task</x:v>
      </x:c>
      <x:c r="Q443" s="20" t="str">
        <x:v>RootWebArea 'Click Dialog Task', focused [17] dialog '', clickable, modal=False, describedby='dialog' StaticText '' [20] button 'Close', clickable [24] paragraph '' StaticText 'Vitae. Condimentum. Dictum arcu ornare.' [27] button 'Cancel', clickable, focused [28] button 'OK', clickable</x:v>
      </x:c>
      <x:c r="R443" s="20" t="str">
        <x:v>file:///root/autodl-tmp/miniwob-plusplus/miniwob/html/miniwob/click-dialog-2.html</x:v>
      </x:c>
      <x:c r="S443" s="20" t="str">
        <x:v>Click Dialog Task</x:v>
      </x:c>
      <x:c r="T443" s="20" t="str">
        <x:v>RootWebArea 'Click Dialog Task', focused [17] dialog '', clickable, modal=False, describedby='dialog' StaticText '' [20] button 'Close', clickable [24] paragraph '' StaticText 'Vitae. Condimentum. Dictum arcu ornare.' [27] button 'Cancel', clickable [28] button 'OK', clickable, focused</x:v>
      </x:c>
      <x:c r="U443" s="6" t="str">
        <x:v>0</x:v>
      </x:c>
      <x:c r="V443" s="6" t="str">
        <x:v>0</x:v>
      </x:c>
      <x:c r="W443" s="6" t="str">
        <x:v>0</x:v>
      </x:c>
      <x:c r="X443" s="6" t="str">
        <x:v>1</x:v>
      </x:c>
      <x:c r="Y443" s="6" t="str">
        <x:v>0</x:v>
      </x:c>
      <x:c r="Z443" s="6" t="str">
        <x:v>1</x:v>
      </x:c>
      <x:c r="AA443" s="6" t="str">
        <x:v>0.0</x:v>
      </x:c>
      <x:c r="AB443" s="20" t="str">
        <x:v>Codex证据复核v1：原始记录唯一匹配、环境实测、反事实配对ID完整、终止且非成功、奖励非正、队列标签与结果派生规则一致；非人工签字。</x:v>
      </x:c>
    </x:row>
    <x:row r="444" ht="46" customHeight="1">
      <x:c r="A444" s="6" t="str">
        <x:v>1</x:v>
      </x:c>
      <x:c r="B444" s="6" t="str">
        <x:v>16d0545a981bda9ae7db</x:v>
      </x:c>
      <x:c r="C444" s="6" t="str">
        <x:v>evidence_approved</x:v>
      </x:c>
      <x:c r="D444" s="6" t="str">
        <x:v>codex-evidence-review-v1</x:v>
      </x:c>
      <x:c r="E444" s="22" t="n">
        <x:v>46244.40206471065</x:v>
      </x:c>
      <x:c r="F444" s="6" t="str">
        <x:v>20</x:v>
      </x:c>
      <x:c r="G444" s="20" t="str">
        <x:v>observed_counterfactual;severe_failure;terminal</x:v>
      </x:c>
      <x:c r="H444" s="20" t="str">
        <x:v>browsergym/miniwob.click-tab</x:v>
      </x:c>
      <x:c r="I444" s="6" t="str">
        <x:v>browsergym/miniwob.click-tab</x:v>
      </x:c>
      <x:c r="J444" s="6" t="str">
        <x:v>cf-click-tab-seed1017-hard_wrong_target</x:v>
      </x:c>
      <x:c r="K444" s="6" t="str">
        <x:v>0</x:v>
      </x:c>
      <x:c r="L444" s="20" t="str">
        <x:v>Click on Tab #1.</x:v>
      </x:c>
      <x:c r="M444" s="20" t="str">
        <x:v>click("20", "left")</x:v>
      </x:c>
      <x:c r="N444" s="6" t="str">
        <x:v>0.0</x:v>
      </x:c>
      <x:c r="O444" s="20" t="str">
        <x:v>file:///root/autodl-tmp/miniwob-plusplus/miniwob/html/miniwob/click-tab.html</x:v>
      </x:c>
      <x:c r="P444" s="20" t="str">
        <x:v>Click Tab Task</x:v>
      </x:c>
      <x:c r="Q444" s="20" t="str">
        <x:v>RootWebArea 'Click Tab Task', focused [17] tablist '', clickable, multiselectable=False, orientation='horizontal' [18] tab 'Tab #1', expanded=False, selected=False, controls='tabs-1' [19] link 'Tab #1', clickable [20] tab 'Tab #2', expanded=False, selected=False, controls='tabs-2' [21] link 'Tab #2', clickable [22] tab 'Tab #3', expanded=True, selected=True, controls='tabs-3' [23] link 'Tab #3', clickable [28] tabpanel 'Tab #3' [29] paragraph '' StaticText 'Mauris nunc quisque sed quis. Tristique viverra enim. Nisl ac accumsan aenean. Fringilla vitae, congue sed nulla nulla ut dignissim.'</x:v>
      </x:c>
      <x:c r="R444" s="20" t="str">
        <x:v>file:///root/autodl-tmp/miniwob-plusplus/miniwob/html/miniwob/click-tab.html</x:v>
      </x:c>
      <x:c r="S444" s="20" t="str">
        <x:v>Click Tab Task</x:v>
      </x:c>
      <x:c r="T444" s="20" t="str">
        <x:v>RootWebArea 'Click Tab Task', focused [17] tablist '', clickable, multiselectable=False, orientation='horizontal' [18] tab 'Tab #1', expanded=False, selected=False, controls='tabs-1' [19] link 'Tab #1', clickable [20] tab 'Tab #2', expanded=True, selected=True, controls='tabs-2' [21] link 'Tab #2', clickable, focused [22] tab 'Tab #3', expanded=False, selected=False, controls='tabs-3' [23] link 'Tab #3', clickable [26] tabpanel 'Tab #2' [27] paragraph '' StaticText 'Sed odio egestas vestibulum. Nisl viverra blandit. Ipsum mattis viverra hendrerit eget bibendum tellus malesuada pellentesque. Hac mattis. Amet nulla.'</x:v>
      </x:c>
      <x:c r="U444" s="6" t="str">
        <x:v>0</x:v>
      </x:c>
      <x:c r="V444" s="6" t="str">
        <x:v>0</x:v>
      </x:c>
      <x:c r="W444" s="6" t="str">
        <x:v>0</x:v>
      </x:c>
      <x:c r="X444" s="6" t="str">
        <x:v>1</x:v>
      </x:c>
      <x:c r="Y444" s="6" t="str">
        <x:v>0</x:v>
      </x:c>
      <x:c r="Z444" s="6" t="str">
        <x:v>1</x:v>
      </x:c>
      <x:c r="AA444" s="6" t="str">
        <x:v>0.0</x:v>
      </x:c>
      <x:c r="AB444" s="20" t="str">
        <x:v>Codex证据复核v1：原始记录唯一匹配、环境实测、反事实配对ID完整、终止且非成功、奖励非正、队列标签与结果派生规则一致；非人工签字。</x:v>
      </x:c>
    </x:row>
    <x:row r="445" ht="46" customHeight="1">
      <x:c r="A445" s="6" t="str">
        <x:v>1</x:v>
      </x:c>
      <x:c r="B445" s="6" t="str">
        <x:v>450aefc032c34ee74c9f</x:v>
      </x:c>
      <x:c r="C445" s="6" t="str">
        <x:v>evidence_approved</x:v>
      </x:c>
      <x:c r="D445" s="6" t="str">
        <x:v>codex-evidence-review-v1</x:v>
      </x:c>
      <x:c r="E445" s="22" t="n">
        <x:v>46244.40206471065</x:v>
      </x:c>
      <x:c r="F445" s="6" t="str">
        <x:v>20</x:v>
      </x:c>
      <x:c r="G445" s="20" t="str">
        <x:v>observed_counterfactual;severe_failure;terminal</x:v>
      </x:c>
      <x:c r="H445" s="20" t="str">
        <x:v>browsergym/miniwob.login-user</x:v>
      </x:c>
      <x:c r="I445" s="6" t="str">
        <x:v>browsergym/miniwob.login-user</x:v>
      </x:c>
      <x:c r="J445" s="6" t="str">
        <x:v>cf-login-user-seed1016-hard_wrong_target</x:v>
      </x:c>
      <x:c r="K445" s="6" t="str">
        <x:v>0</x:v>
      </x:c>
      <x:c r="L445" s="20" t="str">
        <x:v>Enter the username "nathalie" and the password "v94" into the text fields and press login.</x:v>
      </x:c>
      <x:c r="M445" s="20" t="str">
        <x:v>click("20", "left")</x:v>
      </x:c>
      <x:c r="N445" s="6" t="str">
        <x:v>0.0</x:v>
      </x:c>
      <x:c r="O445" s="20" t="str">
        <x:v>file:///root/autodl-tmp/miniwob-plusplus/miniwob/html/miniwob/login-user.html</x:v>
      </x:c>
      <x:c r="P445" s="20" t="str">
        <x:v>Login User Task</x:v>
      </x:c>
      <x:c r="Q445" s="20" t="str">
        <x:v>RootWebArea 'Login User Task', focused [14] paragraph '' [15] LabelText '' StaticText 'Username' [16] textbox '', clickable [17] paragraph '' [18] LabelText '' StaticText 'Password' [19] textbox '', clickable [20] button 'Login', clickable</x:v>
      </x:c>
      <x:c r="R445" s="20" t="str">
        <x:v>file:///root/autodl-tmp/miniwob-plusplus/miniwob/html/miniwob/login-user.html</x:v>
      </x:c>
      <x:c r="S445" s="20" t="str">
        <x:v>Login User Task</x:v>
      </x:c>
      <x:c r="T445" s="20" t="str">
        <x:v>RootWebArea 'Login User Task', focused [14] paragraph '' [15] LabelText '' StaticText 'Username' [16] textbox '', clickable [17] paragraph '' [18] LabelText '' StaticText 'Password' [19] textbox '', clickable [20] button 'Login', clickable, focused</x:v>
      </x:c>
      <x:c r="U445" s="6" t="str">
        <x:v>0</x:v>
      </x:c>
      <x:c r="V445" s="6" t="str">
        <x:v>0</x:v>
      </x:c>
      <x:c r="W445" s="6" t="str">
        <x:v>0</x:v>
      </x:c>
      <x:c r="X445" s="6" t="str">
        <x:v>1</x:v>
      </x:c>
      <x:c r="Y445" s="6" t="str">
        <x:v>0</x:v>
      </x:c>
      <x:c r="Z445" s="6" t="str">
        <x:v>1</x:v>
      </x:c>
      <x:c r="AA445" s="6" t="str">
        <x:v>0.0</x:v>
      </x:c>
      <x:c r="AB445" s="20" t="str">
        <x:v>Codex证据复核v1：原始记录唯一匹配、环境实测、反事实配对ID完整、终止且非成功、奖励非正、队列标签与结果派生规则一致；非人工签字。</x:v>
      </x:c>
    </x:row>
    <x:row r="446" ht="46" customHeight="1">
      <x:c r="A446" s="6" t="str">
        <x:v>1</x:v>
      </x:c>
      <x:c r="B446" s="6" t="str">
        <x:v>778b54d69c8cd517d014</x:v>
      </x:c>
      <x:c r="C446" s="6" t="str">
        <x:v>evidence_approved</x:v>
      </x:c>
      <x:c r="D446" s="6" t="str">
        <x:v>codex-evidence-review-v1</x:v>
      </x:c>
      <x:c r="E446" s="22" t="n">
        <x:v>46244.40206471065</x:v>
      </x:c>
      <x:c r="F446" s="6" t="str">
        <x:v>20</x:v>
      </x:c>
      <x:c r="G446" s="20" t="str">
        <x:v>observed_counterfactual;severe_failure;terminal</x:v>
      </x:c>
      <x:c r="H446" s="20" t="str">
        <x:v>browsergym/miniwob.sign-agreement</x:v>
      </x:c>
      <x:c r="I446" s="6" t="str">
        <x:v>browsergym/miniwob.sign-agreement</x:v>
      </x:c>
      <x:c r="J446" s="6" t="str">
        <x:v>cf-sign-agreement-seed1000-hard_wrong_target</x:v>
      </x:c>
      <x:c r="K446" s="6" t="str">
        <x:v>0</x:v>
      </x:c>
      <x:c r="L446" s="20" t="str">
        <x:v>Scroll to the bottom of the textarea, enter the name "Annis" then press "Cancel"</x:v>
      </x:c>
      <x:c r="M446" s="20" t="str">
        <x:v>click("17", "left")</x:v>
      </x:c>
      <x:c r="N446" s="6" t="str">
        <x:v>0.0</x:v>
      </x:c>
      <x:c r="O446" s="20" t="str">
        <x:v>file:///root/autodl-tmp/miniwob-plusplus/miniwob/html/miniwob/sign-agreement.html</x:v>
      </x:c>
      <x:c r="P446" s="20" t="str">
        <x:v>Sign Agreement Task</x:v>
      </x:c>
      <x:c r="Q446" s="20" t="str">
        <x:v>RootWebArea 'Sign Agreement Task', focused [14] heading 'User agreement' [15] textbox '' value='Lectus interdum bibendum nibh nec, pellentesque. In lobortis arcu, nec eleifend in. Ultrices aliquam. Vivamus pellentesque pharetra massa, cursus sit amet, fermentum, dictum tristique iaculis vulputate sed id. Nibh. Amet, tincidunt elit feugiat fringilla etiam. Lobortis enim suspendisse mauris facilisis. At sapien eget mauris et. Netus. Ut mattis pretium vitae. Nisl posuere consectetur vehicula risus nunc viverra sit. At elit. Dignissim elementum, elementum, facilisi pellentesque tristique faucibus nunc. Sit varius. Ullamcorper. Cursus. Penatibus sagittis mattis. Maec… StaticText 'Lectus interdum bibendum nibh nec, pellentesque. In lobortis arcu, nec eleifend in. Ultrices aliquam. Vivamus pellentesque pharetra massa, cursus sit amet, fermentum, dictum tristique iaculis vulputate sed id. Nibh.…</x:v>
      </x:c>
      <x:c r="R446" s="20" t="str">
        <x:v>file:///root/autodl-tmp/miniwob-plusplus/miniwob/html/miniwob/sign-agreement.html</x:v>
      </x:c>
      <x:c r="S446" s="20" t="str">
        <x:v>Sign Agreement Task</x:v>
      </x:c>
      <x:c r="T446" s="20" t="str">
        <x:v>RootWebArea 'Sign Agreement Task', focused [14] heading 'User agreement' [15] textbox '' value='Lectus interdum bibendum nibh nec, pellentesque. In lobortis arcu, nec eleifend in. Ultrices aliquam. Vivamus pellentesque pharetra massa, cursus sit amet, fermentum, dictum tristique iaculis vulputate sed id. Nibh. Amet, tincidunt elit feugiat fringilla etiam. Lobortis enim suspendisse mauris facilisis. At sapien eget mauris et. Netus. Ut mattis pretium vitae. Nisl posuere consectetur vehicula risus nunc viverra sit. At elit. Dignissim elementum, elementum, facilisi pellentesque tristique faucibus nunc. Sit varius. Ullamcorper. Cursus. Penatibus sagittis mattis. Maec… StaticText 'Lectus interdum bibendum nibh nec, pellentesque. In lobortis arcu, nec eleifend in. Ultrices aliquam. Vivamus pellentesque pharetra massa, cursus sit amet, fermentum, dictum tristique iaculis vulputate sed id. Nibh.…</x:v>
      </x:c>
      <x:c r="U446" s="6" t="str">
        <x:v>0</x:v>
      </x:c>
      <x:c r="V446" s="6" t="str">
        <x:v>0</x:v>
      </x:c>
      <x:c r="W446" s="6" t="str">
        <x:v>0</x:v>
      </x:c>
      <x:c r="X446" s="6" t="str">
        <x:v>1</x:v>
      </x:c>
      <x:c r="Y446" s="6" t="str">
        <x:v>0</x:v>
      </x:c>
      <x:c r="Z446" s="6" t="str">
        <x:v>1</x:v>
      </x:c>
      <x:c r="AA446" s="6" t="str">
        <x:v>0.0</x:v>
      </x:c>
      <x:c r="AB446" s="20" t="str">
        <x:v>Codex证据复核v1：原始记录唯一匹配、环境实测、反事实配对ID完整、终止且非成功、奖励非正、队列标签与结果派生规则一致；非人工签字。</x:v>
      </x:c>
    </x:row>
    <x:row r="447" ht="46" customHeight="1">
      <x:c r="A447" s="6" t="str">
        <x:v>1</x:v>
      </x:c>
      <x:c r="B447" s="6" t="str">
        <x:v>f80f6333a8d6c44f0525</x:v>
      </x:c>
      <x:c r="C447" s="6" t="str">
        <x:v>evidence_approved</x:v>
      </x:c>
      <x:c r="D447" s="6" t="str">
        <x:v>codex-evidence-review-v1</x:v>
      </x:c>
      <x:c r="E447" s="22" t="n">
        <x:v>46244.40206471065</x:v>
      </x:c>
      <x:c r="F447" s="6" t="str">
        <x:v>20</x:v>
      </x:c>
      <x:c r="G447" s="20" t="str">
        <x:v>observed_counterfactual;severe_failure;terminal</x:v>
      </x:c>
      <x:c r="H447" s="20" t="str">
        <x:v>browsergym/miniwob.choose-list</x:v>
      </x:c>
      <x:c r="I447" s="6" t="str">
        <x:v>browsergym/miniwob.choose-list</x:v>
      </x:c>
      <x:c r="J447" s="6" t="str">
        <x:v>cf-choose-list-seed1006-hard_wrong_target</x:v>
      </x:c>
      <x:c r="K447" s="6" t="str">
        <x:v>0</x:v>
      </x:c>
      <x:c r="L447" s="20" t="str">
        <x:v>Select Claresta from the list and click Submit.</x:v>
      </x:c>
      <x:c r="M447" s="20" t="str">
        <x:v>click("21", "left")</x:v>
      </x:c>
      <x:c r="N447" s="6" t="str">
        <x:v>0.0</x:v>
      </x:c>
      <x:c r="O447" s="20" t="str">
        <x:v>file:///root/autodl-tmp/miniwob-plusplus/miniwob/html/miniwob/choose-list.html</x:v>
      </x:c>
      <x:c r="P447" s="20" t="str">
        <x:v>Choose List Task</x:v>
      </x:c>
      <x:c r="Q447" s="20" t="str">
        <x:v>RootWebArea 'Choose List Task', focused [13] combobox '' value='Josephina', hasPopup='menu', expanded=False [21] button 'Submit', clickable</x:v>
      </x:c>
      <x:c r="R447" s="20" t="str">
        <x:v>file:///root/autodl-tmp/miniwob-plusplus/miniwob/html/miniwob/choose-list.html</x:v>
      </x:c>
      <x:c r="S447" s="20" t="str">
        <x:v>Choose List Task</x:v>
      </x:c>
      <x:c r="T447" s="20" t="str">
        <x:v>RootWebArea 'Choose List Task', focused [13] combobox '' value='Josephina', hasPopup='menu', expanded=False [21] button 'Submit', clickable, focused</x:v>
      </x:c>
      <x:c r="U447" s="6" t="str">
        <x:v>0</x:v>
      </x:c>
      <x:c r="V447" s="6" t="str">
        <x:v>0</x:v>
      </x:c>
      <x:c r="W447" s="6" t="str">
        <x:v>0</x:v>
      </x:c>
      <x:c r="X447" s="6" t="str">
        <x:v>1</x:v>
      </x:c>
      <x:c r="Y447" s="6" t="str">
        <x:v>0</x:v>
      </x:c>
      <x:c r="Z447" s="6" t="str">
        <x:v>1</x:v>
      </x:c>
      <x:c r="AA447" s="6" t="str">
        <x:v>0.0</x:v>
      </x:c>
      <x:c r="AB447" s="20" t="str">
        <x:v>Codex证据复核v1：原始记录唯一匹配、环境实测、反事实配对ID完整、终止且非成功、奖励非正、队列标签与结果派生规则一致；非人工签字。</x:v>
      </x:c>
    </x:row>
    <x:row r="448" ht="46" customHeight="1">
      <x:c r="A448" s="6" t="str">
        <x:v>1</x:v>
      </x:c>
      <x:c r="B448" s="6" t="str">
        <x:v>c7de4fa90ae2638e5423</x:v>
      </x:c>
      <x:c r="C448" s="6" t="str">
        <x:v>evidence_approved</x:v>
      </x:c>
      <x:c r="D448" s="6" t="str">
        <x:v>codex-evidence-review-v1</x:v>
      </x:c>
      <x:c r="E448" s="22" t="n">
        <x:v>46244.40206471065</x:v>
      </x:c>
      <x:c r="F448" s="6" t="str">
        <x:v>20</x:v>
      </x:c>
      <x:c r="G448" s="20" t="str">
        <x:v>observed_counterfactual;severe_failure;terminal</x:v>
      </x:c>
      <x:c r="H448" s="20" t="str">
        <x:v>browsergym/miniwob.click-widget</x:v>
      </x:c>
      <x:c r="I448" s="6" t="str">
        <x:v>browsergym/miniwob.click-widget</x:v>
      </x:c>
      <x:c r="J448" s="6" t="str">
        <x:v>cf-click-widget-seed1001-hard_wrong_target</x:v>
      </x:c>
      <x:c r="K448" s="6" t="str">
        <x:v>0</x:v>
      </x:c>
      <x:c r="L448" s="20" t="str">
        <x:v>Click on a "textarea" widget.</x:v>
      </x:c>
      <x:c r="M448" s="20" t="str">
        <x:v>click("14", "left")</x:v>
      </x:c>
      <x:c r="N448" s="6" t="str">
        <x:v>0.0</x:v>
      </x:c>
      <x:c r="O448" s="20" t="str">
        <x:v>file:///root/autodl-tmp/miniwob-plusplus/miniwob/html/miniwob/click-widget.html</x:v>
      </x:c>
      <x:c r="P448" s="20" t="str">
        <x:v>Click Widget Task</x:v>
      </x:c>
      <x:c r="Q448" s="20" t="str">
        <x:v>RootWebArea 'Click Widget Task', focused [14] button 'vlg' [16] textbox '' value='3XCH' StaticText '3XCH' [18] textbox '' value='4P' StaticText '4P' [20] LabelText '', clickable [21] checkbox 'm', clickable, checked='false' StaticText 'm' [23] LabelText '', clickable [24] radio 'z5', clickable, checked='false' StaticText 'z5'</x:v>
      </x:c>
      <x:c r="R448" s="20" t="str">
        <x:v>file:///root/autodl-tmp/miniwob-plusplus/miniwob/html/miniwob/click-widget.html</x:v>
      </x:c>
      <x:c r="S448" s="20" t="str">
        <x:v>Click Widget Task</x:v>
      </x:c>
      <x:c r="T448" s="20" t="str">
        <x:v>RootWebArea 'Click Widget Task', focused [14] button 'vlg', focused [16] textbox '' value='3XCH' StaticText '3XCH' [18] textbox '' value='4P' StaticText '4P' [20] LabelText '', clickable [21] checkbox 'm', clickable, checked='false' StaticText 'm' [23] LabelText '', clickable [24] radio 'z5', clickable, checked='false' StaticText 'z5'</x:v>
      </x:c>
      <x:c r="U448" s="6" t="str">
        <x:v>0</x:v>
      </x:c>
      <x:c r="V448" s="6" t="str">
        <x:v>0</x:v>
      </x:c>
      <x:c r="W448" s="6" t="str">
        <x:v>0</x:v>
      </x:c>
      <x:c r="X448" s="6" t="str">
        <x:v>1</x:v>
      </x:c>
      <x:c r="Y448" s="6" t="str">
        <x:v>0</x:v>
      </x:c>
      <x:c r="Z448" s="6" t="str">
        <x:v>1</x:v>
      </x:c>
      <x:c r="AA448" s="6" t="str">
        <x:v>0.0</x:v>
      </x:c>
      <x:c r="AB448" s="20" t="str">
        <x:v>Codex证据复核v1：原始记录唯一匹配、环境实测、反事实配对ID完整、终止且非成功、奖励非正、队列标签与结果派生规则一致；非人工签字。</x:v>
      </x:c>
    </x:row>
    <x:row r="449" ht="46" customHeight="1">
      <x:c r="A449" s="6" t="str">
        <x:v>1</x:v>
      </x:c>
      <x:c r="B449" s="6" t="str">
        <x:v>fd1b2e8f980d982cf50d</x:v>
      </x:c>
      <x:c r="C449" s="6" t="str">
        <x:v>evidence_approved</x:v>
      </x:c>
      <x:c r="D449" s="6" t="str">
        <x:v>codex-evidence-review-v1</x:v>
      </x:c>
      <x:c r="E449" s="22" t="n">
        <x:v>46244.40206471065</x:v>
      </x:c>
      <x:c r="F449" s="6" t="str">
        <x:v>20</x:v>
      </x:c>
      <x:c r="G449" s="20" t="str">
        <x:v>observed_counterfactual;severe_failure;terminal</x:v>
      </x:c>
      <x:c r="H449" s="20" t="str">
        <x:v>browsergym/miniwob.sign-agreement</x:v>
      </x:c>
      <x:c r="I449" s="6" t="str">
        <x:v>browsergym/miniwob.sign-agreement</x:v>
      </x:c>
      <x:c r="J449" s="6" t="str">
        <x:v>cf-sign-agreement-seed1010-hard_wrong_target</x:v>
      </x:c>
      <x:c r="K449" s="6" t="str">
        <x:v>0</x:v>
      </x:c>
      <x:c r="L449" s="20" t="str">
        <x:v>Scroll to the bottom of the textarea, enter the name "Chas" then press "Cancel"</x:v>
      </x:c>
      <x:c r="M449" s="20" t="str">
        <x:v>click("17", "left")</x:v>
      </x:c>
      <x:c r="N449" s="6" t="str">
        <x:v>0.0</x:v>
      </x:c>
      <x:c r="O449" s="20" t="str">
        <x:v>file:///root/autodl-tmp/miniwob-plusplus/miniwob/html/miniwob/sign-agreement.html</x:v>
      </x:c>
      <x:c r="P449" s="20" t="str">
        <x:v>Sign Agreement Task</x:v>
      </x:c>
      <x:c r="Q449" s="20" t="str">
        <x:v>RootWebArea 'Sign Agreement Task', focused [14] heading 'User agreement' [15] textbox '' value='Volutpat condimentum. Quis nulla. Sed tincidunt bibendum nisi, bibendum donec quis a, eu varius sit. Eu. Sodales egestas est nibh felis dui diam,. Nulla a suspendisse. Potenti nisl, diam faucibus turpis. Lectus enim etiam ullamcorper amet ac lectus leo dui accumsan. Sodales amet facilisis eget mauris, interdum vitae. Vivamus. Mattis dolor, nullam neque pulvinar et volutpat mattis. Quis nullam venenatis. Odio. Diam. Sit in. Arcu amet mattis felis donec sodales sagittis proin sed. Sed scelerisque est pellentesque. Tristique molestie augue blandit purus suspendisse. Nec … StaticText 'Volutpat condimentum. Quis nulla. Sed tincidunt bibendum nisi, bibendum donec quis a, eu varius sit. Eu. Sodales egestas est nibh felis dui diam,. Nulla a suspendisse. Potenti nisl, diam faucibus turpis. Lectus enim…</x:v>
      </x:c>
      <x:c r="R449" s="20" t="str">
        <x:v>file:///root/autodl-tmp/miniwob-plusplus/miniwob/html/miniwob/sign-agreement.html</x:v>
      </x:c>
      <x:c r="S449" s="20" t="str">
        <x:v>Sign Agreement Task</x:v>
      </x:c>
      <x:c r="T449" s="20" t="str">
        <x:v>RootWebArea 'Sign Agreement Task', focused [14] heading 'User agreement' [15] textbox '' value='Volutpat condimentum. Quis nulla. Sed tincidunt bibendum nisi, bibendum donec quis a, eu varius sit. Eu. Sodales egestas est nibh felis dui diam,. Nulla a suspendisse. Potenti nisl, diam faucibus turpis. Lectus enim etiam ullamcorper amet ac lectus leo dui accumsan. Sodales amet facilisis eget mauris, interdum vitae. Vivamus. Mattis dolor, nullam neque pulvinar et volutpat mattis. Quis nullam venenatis. Odio. Diam. Sit in. Arcu amet mattis felis donec sodales sagittis proin sed. Sed scelerisque est pellentesque. Tristique molestie augue blandit purus suspendisse. Nec … StaticText 'Volutpat condimentum. Quis nulla. Sed tincidunt bibendum nisi, bibendum donec quis a, eu varius sit. Eu. Sodales egestas est nibh felis dui diam,. Nulla a suspendisse. Potenti nisl, diam faucibus turpis. Lectus enim…</x:v>
      </x:c>
      <x:c r="U449" s="6" t="str">
        <x:v>0</x:v>
      </x:c>
      <x:c r="V449" s="6" t="str">
        <x:v>0</x:v>
      </x:c>
      <x:c r="W449" s="6" t="str">
        <x:v>0</x:v>
      </x:c>
      <x:c r="X449" s="6" t="str">
        <x:v>1</x:v>
      </x:c>
      <x:c r="Y449" s="6" t="str">
        <x:v>0</x:v>
      </x:c>
      <x:c r="Z449" s="6" t="str">
        <x:v>1</x:v>
      </x:c>
      <x:c r="AA449" s="6" t="str">
        <x:v>0.0</x:v>
      </x:c>
      <x:c r="AB449" s="20" t="str">
        <x:v>Codex证据复核v1：原始记录唯一匹配、环境实测、反事实配对ID完整、终止且非成功、奖励非正、队列标签与结果派生规则一致；非人工签字。</x:v>
      </x:c>
    </x:row>
    <x:row r="450" ht="46" customHeight="1">
      <x:c r="A450" s="6" t="str">
        <x:v>1</x:v>
      </x:c>
      <x:c r="B450" s="6" t="str">
        <x:v>8dc1e85797300d6df0fc</x:v>
      </x:c>
      <x:c r="C450" s="6" t="str">
        <x:v>evidence_approved</x:v>
      </x:c>
      <x:c r="D450" s="6" t="str">
        <x:v>codex-evidence-review-v1</x:v>
      </x:c>
      <x:c r="E450" s="22" t="n">
        <x:v>46244.40206471065</x:v>
      </x:c>
      <x:c r="F450" s="6" t="str">
        <x:v>20</x:v>
      </x:c>
      <x:c r="G450" s="20" t="str">
        <x:v>observed_counterfactual;severe_failure;terminal</x:v>
      </x:c>
      <x:c r="H450" s="20" t="str">
        <x:v>browsergym/miniwob.click-test-2</x:v>
      </x:c>
      <x:c r="I450" s="6" t="str">
        <x:v>browsergym/miniwob.click-test-2</x:v>
      </x:c>
      <x:c r="J450" s="6" t="str">
        <x:v>cf-click-test-2-seed1006-hard_wrong_target</x:v>
      </x:c>
      <x:c r="K450" s="6" t="str">
        <x:v>0</x:v>
      </x:c>
      <x:c r="L450" s="20" t="str">
        <x:v>Click button ONE.</x:v>
      </x:c>
      <x:c r="M450" s="20" t="str">
        <x:v>click("14", "left")</x:v>
      </x:c>
      <x:c r="N450" s="6" t="str">
        <x:v>0.0</x:v>
      </x:c>
      <x:c r="O450" s="20" t="str">
        <x:v>file:///root/autodl-tmp/miniwob-plusplus/miniwob/html/miniwob/click-test-2.html</x:v>
      </x:c>
      <x:c r="P450" s="20" t="str">
        <x:v>Click Test Task</x:v>
      </x:c>
      <x:c r="Q450" s="20" t="str">
        <x:v>RootWebArea 'Click Test Task', focused [13] button 'ONE', clickable [14] button 'TWO', clickable</x:v>
      </x:c>
      <x:c r="R450" s="20" t="str">
        <x:v>file:///root/autodl-tmp/miniwob-plusplus/miniwob/html/miniwob/click-test-2.html</x:v>
      </x:c>
      <x:c r="S450" s="20" t="str">
        <x:v>Click Test Task</x:v>
      </x:c>
      <x:c r="T450" s="20" t="str">
        <x:v>RootWebArea 'Click Test Task', focused [13] button 'ONE', clickable [14] button 'TWO', clickable, focused</x:v>
      </x:c>
      <x:c r="U450" s="6" t="str">
        <x:v>0</x:v>
      </x:c>
      <x:c r="V450" s="6" t="str">
        <x:v>0</x:v>
      </x:c>
      <x:c r="W450" s="6" t="str">
        <x:v>0</x:v>
      </x:c>
      <x:c r="X450" s="6" t="str">
        <x:v>1</x:v>
      </x:c>
      <x:c r="Y450" s="6" t="str">
        <x:v>0</x:v>
      </x:c>
      <x:c r="Z450" s="6" t="str">
        <x:v>1</x:v>
      </x:c>
      <x:c r="AA450" s="6" t="str">
        <x:v>0.0</x:v>
      </x:c>
      <x:c r="AB450" s="20" t="str">
        <x:v>Codex证据复核v1：原始记录唯一匹配、环境实测、反事实配对ID完整、终止且非成功、奖励非正、队列标签与结果派生规则一致；非人工签字。</x:v>
      </x:c>
    </x:row>
    <x:row r="451" ht="46" customHeight="1">
      <x:c r="A451" s="6" t="str">
        <x:v>1</x:v>
      </x:c>
      <x:c r="B451" s="6" t="str">
        <x:v>8bdd22990e53860213ad</x:v>
      </x:c>
      <x:c r="C451" s="6" t="str">
        <x:v>evidence_approved</x:v>
      </x:c>
      <x:c r="D451" s="6" t="str">
        <x:v>codex-evidence-review-v1</x:v>
      </x:c>
      <x:c r="E451" s="22" t="n">
        <x:v>46244.40206471065</x:v>
      </x:c>
      <x:c r="F451" s="6" t="str">
        <x:v>20</x:v>
      </x:c>
      <x:c r="G451" s="20" t="str">
        <x:v>observed_counterfactual;severe_failure;terminal</x:v>
      </x:c>
      <x:c r="H451" s="20" t="str">
        <x:v>browsergym/miniwob.enter-text-dynamic</x:v>
      </x:c>
      <x:c r="I451" s="6" t="str">
        <x:v>browsergym/miniwob.enter-text-dynamic</x:v>
      </x:c>
      <x:c r="J451" s="6" t="str">
        <x:v>cf-enter-text-dynamic-seed1032-hard_wrong_target</x:v>
      </x:c>
      <x:c r="K451" s="6" t="str">
        <x:v>0</x:v>
      </x:c>
      <x:c r="L451" s="20" t="str">
        <x:v>Enter "E" into the text field and press Submit.</x:v>
      </x:c>
      <x:c r="M451" s="20" t="str">
        <x:v>click("15", "left")</x:v>
      </x:c>
      <x:c r="N451" s="6" t="str">
        <x:v>0.0</x:v>
      </x:c>
      <x:c r="O451" s="20" t="str">
        <x:v>file:///root/autodl-tmp/miniwob-plusplus/miniwob/html/miniwob/enter-text-dynamic.html</x:v>
      </x:c>
      <x:c r="P451" s="20" t="str">
        <x:v>Enter Dynamic Text Task</x:v>
      </x:c>
      <x:c r="Q451" s="20" t="str">
        <x:v>RootWebArea 'Enter Dynamic Text Task', focused [14] textbox '', clickable [15] button 'Submit', clickable</x:v>
      </x:c>
      <x:c r="R451" s="20" t="str">
        <x:v>file:///root/autodl-tmp/miniwob-plusplus/miniwob/html/miniwob/enter-text-dynamic.html</x:v>
      </x:c>
      <x:c r="S451" s="20" t="str">
        <x:v>Enter Dynamic Text Task</x:v>
      </x:c>
      <x:c r="T451" s="20" t="str">
        <x:v>RootWebArea 'Enter Dynamic Text Task', focused [14] textbox '', clickable [15] button 'Submit', clickable, focused</x:v>
      </x:c>
      <x:c r="U451" s="6" t="str">
        <x:v>0</x:v>
      </x:c>
      <x:c r="V451" s="6" t="str">
        <x:v>0</x:v>
      </x:c>
      <x:c r="W451" s="6" t="str">
        <x:v>0</x:v>
      </x:c>
      <x:c r="X451" s="6" t="str">
        <x:v>1</x:v>
      </x:c>
      <x:c r="Y451" s="6" t="str">
        <x:v>0</x:v>
      </x:c>
      <x:c r="Z451" s="6" t="str">
        <x:v>1</x:v>
      </x:c>
      <x:c r="AA451" s="6" t="str">
        <x:v>0.0</x:v>
      </x:c>
      <x:c r="AB451" s="20" t="str">
        <x:v>Codex证据复核v1：原始记录唯一匹配、环境实测、反事实配对ID完整、终止且非成功、奖励非正、队列标签与结果派生规则一致；非人工签字。</x:v>
      </x:c>
    </x:row>
    <x:row r="452" ht="46" customHeight="1">
      <x:c r="A452" s="6" t="str">
        <x:v>1</x:v>
      </x:c>
      <x:c r="B452" s="6" t="str">
        <x:v>cbf6100561a8e79b8c08</x:v>
      </x:c>
      <x:c r="C452" s="6" t="str">
        <x:v>evidence_approved</x:v>
      </x:c>
      <x:c r="D452" s="6" t="str">
        <x:v>codex-evidence-review-v1</x:v>
      </x:c>
      <x:c r="E452" s="22" t="n">
        <x:v>46244.40206471065</x:v>
      </x:c>
      <x:c r="F452" s="6" t="str">
        <x:v>20</x:v>
      </x:c>
      <x:c r="G452" s="20" t="str">
        <x:v>observed_counterfactual;severe_failure;terminal</x:v>
      </x:c>
      <x:c r="H452" s="20" t="str">
        <x:v>browsergym/miniwob.click-menu</x:v>
      </x:c>
      <x:c r="I452" s="6" t="str">
        <x:v>browsergym/miniwob.click-menu</x:v>
      </x:c>
      <x:c r="J452" s="6" t="str">
        <x:v>cf-click-menu-seed1002-missing_target</x:v>
      </x:c>
      <x:c r="K452" s="6" t="str">
        <x:v>0</x:v>
      </x:c>
      <x:c r="L452" s="20" t="str">
        <x:v>Select Susann&gt;Kali&gt;Alta</x:v>
      </x:c>
      <x:c r="M452" s="20" t="str">
        <x:v>click("37", "left")</x:v>
      </x:c>
      <x:c r="N452" s="6" t="str">
        <x:v>0.0</x:v>
      </x:c>
      <x:c r="O452" s="20" t="str">
        <x:v>file:///root/autodl-tmp/miniwob-plusplus/miniwob/html/miniwob/click-menu.html</x:v>
      </x:c>
      <x:c r="P452" s="20" t="str">
        <x:v>Click Menu Task</x:v>
      </x:c>
      <x:c r="Q452" s="20" t="str">
        <x:v>RootWebArea 'Click Menu Task', focused [17] menu '', clickable, orientation='vertical' image '' [19] menuitem 'Addi' image '' [21] menuitem 'Glynda', hasPopup='menu' image '' [35] menuitem 'Enriqueta' image '' [37] menuitem 'Susann', hasPopup='menu'</x:v>
      </x:c>
      <x:c r="R452" s="20" t="str">
        <x:v>file:///root/autodl-tmp/miniwob-plusplus/miniwob/html/miniwob/click-menu.html</x:v>
      </x:c>
      <x:c r="S452" s="20" t="str">
        <x:v>Click Menu Task</x:v>
      </x:c>
      <x:c r="T452" s="20" t="str">
        <x:v>RootWebArea 'Click Menu Task', focused [17] menu '', clickable, orientation='vertical' image '' [19] menuitem 'Addi' image '' [21] menuitem 'Glynda', hasPopup='menu' image '' [35] menuitem 'Enriqueta' image '' [37] menuitem 'Susann', hasPopup='menu' [39] menu '', orientation='vertical' image '' [41] menuitem 'Kali', hasPopup='menu' image '' [51] menuitem 'Erin' image '' [53] menuitem 'Adele', hasPopup='menu' image '' [65] menuitem 'Mil'</x:v>
      </x:c>
      <x:c r="U452" s="6" t="str">
        <x:v>0</x:v>
      </x:c>
      <x:c r="V452" s="6" t="str">
        <x:v>0</x:v>
      </x:c>
      <x:c r="W452" s="6" t="str">
        <x:v>0</x:v>
      </x:c>
      <x:c r="X452" s="6" t="str">
        <x:v>1</x:v>
      </x:c>
      <x:c r="Y452" s="6" t="str">
        <x:v>0</x:v>
      </x:c>
      <x:c r="Z452" s="6" t="str">
        <x:v>1</x:v>
      </x:c>
      <x:c r="AA452" s="6" t="str">
        <x:v>0.0</x:v>
      </x:c>
      <x:c r="AB452" s="20" t="str">
        <x:v>Codex证据复核v1：原始记录唯一匹配、环境实测、反事实配对ID完整、终止且非成功、奖励非正、队列标签与结果派生规则一致；非人工签字。</x:v>
      </x:c>
    </x:row>
    <x:row r="453" ht="46" customHeight="1">
      <x:c r="A453" s="6" t="str">
        <x:v>1</x:v>
      </x:c>
      <x:c r="B453" s="6" t="str">
        <x:v>cd15b5a4e523908f840b</x:v>
      </x:c>
      <x:c r="C453" s="6" t="str">
        <x:v>evidence_approved</x:v>
      </x:c>
      <x:c r="D453" s="6" t="str">
        <x:v>codex-evidence-review-v1</x:v>
      </x:c>
      <x:c r="E453" s="22" t="n">
        <x:v>46244.40206471065</x:v>
      </x:c>
      <x:c r="F453" s="6" t="str">
        <x:v>20</x:v>
      </x:c>
      <x:c r="G453" s="20" t="str">
        <x:v>observed_counterfactual;severe_failure;terminal</x:v>
      </x:c>
      <x:c r="H453" s="20" t="str">
        <x:v>browsergym/miniwob.click-checkboxes-soft</x:v>
      </x:c>
      <x:c r="I453" s="6" t="str">
        <x:v>browsergym/miniwob.click-checkboxes-soft</x:v>
      </x:c>
      <x:c r="J453" s="6" t="str">
        <x:v>cf-click-checkboxes-soft-seed1020-wrong_action_type</x:v>
      </x:c>
      <x:c r="K453" s="6" t="str">
        <x:v>0</x:v>
      </x:c>
      <x:c r="L453" s="20" t="str">
        <x:v>Select words similar to camouflage, dislike, evil, murder and click Submit.</x:v>
      </x:c>
      <x:c r="M453" s="20" t="str">
        <x:v>click("36", "left")</x:v>
      </x:c>
      <x:c r="N453" s="6" t="str">
        <x:v>0.0</x:v>
      </x:c>
      <x:c r="O453" s="20" t="str">
        <x:v>file:///root/autodl-tmp/miniwob-plusplus/miniwob/html/miniwob/click-checkboxes-soft.html</x:v>
      </x:c>
      <x:c r="P453" s="20" t="str">
        <x:v>Click Checkboxes Task</x:v>
      </x:c>
      <x:c r="Q453" s="20" t="str">
        <x:v>RootWebArea 'Click Checkboxes Task', focused [17] LabelText '', clickable [18] checkbox 'tragic', clickable, checked='false' StaticText 'tragic' [20] LabelText '', clickable [21] checkbox 'conceal', clickable, checked='false' StaticText 'conceal' [23] LabelText '', clickable [24] checkbox 'courageous', clickable, checked='false' StaticText 'courageous' [26] LabelText '', clickable [27] checkbox 'detest', clickable, checked='false' StaticText 'detest' [29] LabelText '', clickable [30] checkbox 'wicked', clickable, checked='false' StaticText 'wicked' [32] LabelText '', clickable [33] checkbox 'assassinate', clickable, checked='false' StaticText 'assassinate' [36] button 'Submit', clickable</x:v>
      </x:c>
      <x:c r="R453" s="20" t="str">
        <x:v>file:///root/autodl-tmp/miniwob-plusplus/miniwob/html/miniwob/click-checkboxes-soft.html</x:v>
      </x:c>
      <x:c r="S453" s="20" t="str">
        <x:v>Click Checkboxes Task</x:v>
      </x:c>
      <x:c r="T453" s="20" t="str">
        <x:v>RootWebArea 'Click Checkboxes Task', focused [17] LabelText '', clickable [18] checkbox 'tragic', clickable, checked='false' StaticText 'tragic' [20] LabelText '', clickable [21] checkbox 'conceal', clickable, checked='false' StaticText 'conceal' [23] LabelText '', clickable [24] checkbox 'courageous', clickable, checked='false' StaticText 'courageous' [26] LabelText '', clickable [27] checkbox 'detest', clickable, checked='false' StaticText 'detest' [29] LabelText '', clickable [30] checkbox 'wicked', clickable, checked='false' StaticText 'wicked' [32] LabelText '', clickable [33] checkbox 'assassinate', clickable, checked='false' StaticText 'assassinate' [36] button 'Submit', clickable, focused</x:v>
      </x:c>
      <x:c r="U453" s="6" t="str">
        <x:v>0</x:v>
      </x:c>
      <x:c r="V453" s="6" t="str">
        <x:v>0</x:v>
      </x:c>
      <x:c r="W453" s="6" t="str">
        <x:v>0</x:v>
      </x:c>
      <x:c r="X453" s="6" t="str">
        <x:v>1</x:v>
      </x:c>
      <x:c r="Y453" s="6" t="str">
        <x:v>0</x:v>
      </x:c>
      <x:c r="Z453" s="6" t="str">
        <x:v>1</x:v>
      </x:c>
      <x:c r="AA453" s="6" t="str">
        <x:v>0.0</x:v>
      </x:c>
      <x:c r="AB453" s="20" t="str">
        <x:v>Codex证据复核v1：原始记录唯一匹配、环境实测、反事实配对ID完整、终止且非成功、奖励非正、队列标签与结果派生规则一致；非人工签字。</x:v>
      </x:c>
    </x:row>
    <x:row r="454" ht="46" customHeight="1">
      <x:c r="A454" s="6" t="str">
        <x:v>1</x:v>
      </x:c>
      <x:c r="B454" s="6" t="str">
        <x:v>de24981b19d41a5ea9ea</x:v>
      </x:c>
      <x:c r="C454" s="6" t="str">
        <x:v>evidence_approved</x:v>
      </x:c>
      <x:c r="D454" s="6" t="str">
        <x:v>codex-evidence-review-v1</x:v>
      </x:c>
      <x:c r="E454" s="22" t="n">
        <x:v>46244.40206471065</x:v>
      </x:c>
      <x:c r="F454" s="6" t="str">
        <x:v>20</x:v>
      </x:c>
      <x:c r="G454" s="20" t="str">
        <x:v>observed_counterfactual;severe_failure;terminal</x:v>
      </x:c>
      <x:c r="H454" s="20" t="str">
        <x:v>browsergym/miniwob.enter-password</x:v>
      </x:c>
      <x:c r="I454" s="6" t="str">
        <x:v>browsergym/miniwob.enter-password</x:v>
      </x:c>
      <x:c r="J454" s="6" t="str">
        <x:v>cf-enter-password-seed1015-hard_wrong_target</x:v>
      </x:c>
      <x:c r="K454" s="6" t="str">
        <x:v>0</x:v>
      </x:c>
      <x:c r="L454" s="20" t="str">
        <x:v>Enter the password "Nix" into both text fields and press submit.</x:v>
      </x:c>
      <x:c r="M454" s="20" t="str">
        <x:v>click("20", "left")</x:v>
      </x:c>
      <x:c r="N454" s="6" t="str">
        <x:v>0.0</x:v>
      </x:c>
      <x:c r="O454" s="20" t="str">
        <x:v>file:///root/autodl-tmp/miniwob-plusplus/miniwob/html/miniwob/enter-password.html</x:v>
      </x:c>
      <x:c r="P454" s="20" t="str">
        <x:v>Enter Password Task</x:v>
      </x:c>
      <x:c r="Q454" s="20" t="str">
        <x:v>RootWebArea 'Enter Password Task', focused [14] paragraph '' [15] LabelText '' StaticText 'Password' [16] textbox '', clickable [17] paragraph '' [18] LabelText '' StaticText 'Verify password' [19] textbox '', clickable [20] button 'Submit', clickable</x:v>
      </x:c>
      <x:c r="R454" s="20" t="str">
        <x:v>file:///root/autodl-tmp/miniwob-plusplus/miniwob/html/miniwob/enter-password.html</x:v>
      </x:c>
      <x:c r="S454" s="20" t="str">
        <x:v>Enter Password Task</x:v>
      </x:c>
      <x:c r="T454" s="20" t="str">
        <x:v>RootWebArea 'Enter Password Task', focused [14] paragraph '' [15] LabelText '' StaticText 'Password' [16] textbox '', clickable [17] paragraph '' [18] LabelText '' StaticText 'Verify password' [19] textbox '', clickable [20] button 'Submit', clickable, focused</x:v>
      </x:c>
      <x:c r="U454" s="6" t="str">
        <x:v>0</x:v>
      </x:c>
      <x:c r="V454" s="6" t="str">
        <x:v>0</x:v>
      </x:c>
      <x:c r="W454" s="6" t="str">
        <x:v>0</x:v>
      </x:c>
      <x:c r="X454" s="6" t="str">
        <x:v>1</x:v>
      </x:c>
      <x:c r="Y454" s="6" t="str">
        <x:v>0</x:v>
      </x:c>
      <x:c r="Z454" s="6" t="str">
        <x:v>1</x:v>
      </x:c>
      <x:c r="AA454" s="6" t="str">
        <x:v>0.0</x:v>
      </x:c>
      <x:c r="AB454" s="20" t="str">
        <x:v>Codex证据复核v1：原始记录唯一匹配、环境实测、反事实配对ID完整、终止且非成功、奖励非正、队列标签与结果派生规则一致；非人工签字。</x:v>
      </x:c>
    </x:row>
    <x:row r="455" ht="46" customHeight="1">
      <x:c r="A455" s="6" t="str">
        <x:v>1</x:v>
      </x:c>
      <x:c r="B455" s="6" t="str">
        <x:v>5d3c9a5120a31768c132</x:v>
      </x:c>
      <x:c r="C455" s="6" t="str">
        <x:v>evidence_approved</x:v>
      </x:c>
      <x:c r="D455" s="6" t="str">
        <x:v>codex-evidence-review-v1</x:v>
      </x:c>
      <x:c r="E455" s="22" t="n">
        <x:v>46244.40206471065</x:v>
      </x:c>
      <x:c r="F455" s="6" t="str">
        <x:v>20</x:v>
      </x:c>
      <x:c r="G455" s="20" t="str">
        <x:v>observed_counterfactual;severe_failure;terminal</x:v>
      </x:c>
      <x:c r="H455" s="20" t="str">
        <x:v>browsergym/miniwob.enter-text</x:v>
      </x:c>
      <x:c r="I455" s="6" t="str">
        <x:v>browsergym/miniwob.enter-text</x:v>
      </x:c>
      <x:c r="J455" s="6" t="str">
        <x:v>cf-enter-text-seed1001-hard_wrong_target</x:v>
      </x:c>
      <x:c r="K455" s="6" t="str">
        <x:v>0</x:v>
      </x:c>
      <x:c r="L455" s="20" t="str">
        <x:v>Enter "Marcella" into the text field and press Submit.</x:v>
      </x:c>
      <x:c r="M455" s="20" t="str">
        <x:v>click("15", "left")</x:v>
      </x:c>
      <x:c r="N455" s="6" t="str">
        <x:v>0.0</x:v>
      </x:c>
      <x:c r="O455" s="20" t="str">
        <x:v>file:///root/autodl-tmp/miniwob-plusplus/miniwob/html/miniwob/enter-text.html</x:v>
      </x:c>
      <x:c r="P455" s="20" t="str">
        <x:v>Enter Text Task</x:v>
      </x:c>
      <x:c r="Q455" s="20" t="str">
        <x:v>RootWebArea 'Enter Text Task', focused [14] textbox '', clickable [15] button 'Submit', clickable</x:v>
      </x:c>
      <x:c r="R455" s="20" t="str">
        <x:v>file:///root/autodl-tmp/miniwob-plusplus/miniwob/html/miniwob/enter-text.html</x:v>
      </x:c>
      <x:c r="S455" s="20" t="str">
        <x:v>Enter Text Task</x:v>
      </x:c>
      <x:c r="T455" s="20" t="str">
        <x:v>RootWebArea 'Enter Text Task', focused [14] textbox '', clickable [15] button 'Submit', clickable, focused</x:v>
      </x:c>
      <x:c r="U455" s="6" t="str">
        <x:v>0</x:v>
      </x:c>
      <x:c r="V455" s="6" t="str">
        <x:v>0</x:v>
      </x:c>
      <x:c r="W455" s="6" t="str">
        <x:v>0</x:v>
      </x:c>
      <x:c r="X455" s="6" t="str">
        <x:v>1</x:v>
      </x:c>
      <x:c r="Y455" s="6" t="str">
        <x:v>0</x:v>
      </x:c>
      <x:c r="Z455" s="6" t="str">
        <x:v>1</x:v>
      </x:c>
      <x:c r="AA455" s="6" t="str">
        <x:v>0.0</x:v>
      </x:c>
      <x:c r="AB455" s="20" t="str">
        <x:v>Codex证据复核v1：原始记录唯一匹配、环境实测、反事实配对ID完整、终止且非成功、奖励非正、队列标签与结果派生规则一致；非人工签字。</x:v>
      </x:c>
    </x:row>
    <x:row r="456" ht="46" customHeight="1">
      <x:c r="A456" s="6" t="str">
        <x:v>1</x:v>
      </x:c>
      <x:c r="B456" s="6" t="str">
        <x:v>acb4fd5faef136e7b9d8</x:v>
      </x:c>
      <x:c r="C456" s="6" t="str">
        <x:v>evidence_approved</x:v>
      </x:c>
      <x:c r="D456" s="6" t="str">
        <x:v>codex-evidence-review-v1</x:v>
      </x:c>
      <x:c r="E456" s="22" t="n">
        <x:v>46244.40206471065</x:v>
      </x:c>
      <x:c r="F456" s="6" t="str">
        <x:v>20</x:v>
      </x:c>
      <x:c r="G456" s="20" t="str">
        <x:v>observed_counterfactual;severe_failure;terminal</x:v>
      </x:c>
      <x:c r="H456" s="20" t="str">
        <x:v>browsergym/miniwob.click-tab</x:v>
      </x:c>
      <x:c r="I456" s="6" t="str">
        <x:v>browsergym/miniwob.click-tab</x:v>
      </x:c>
      <x:c r="J456" s="6" t="str">
        <x:v>cf-click-tab-seed1027-hard_wrong_target</x:v>
      </x:c>
      <x:c r="K456" s="6" t="str">
        <x:v>0</x:v>
      </x:c>
      <x:c r="L456" s="20" t="str">
        <x:v>Click on Tab #2.</x:v>
      </x:c>
      <x:c r="M456" s="20" t="str">
        <x:v>click("23", "left")</x:v>
      </x:c>
      <x:c r="N456" s="6" t="str">
        <x:v>0.0</x:v>
      </x:c>
      <x:c r="O456" s="20" t="str">
        <x:v>file:///root/autodl-tmp/miniwob-plusplus/miniwob/html/miniwob/click-tab.html</x:v>
      </x:c>
      <x:c r="P456" s="20" t="str">
        <x:v>Click Tab Task</x:v>
      </x:c>
      <x:c r="Q456" s="20" t="str">
        <x:v>RootWebArea 'Click Tab Task', focused [17] tablist '', clickable, multiselectable=False, orientation='horizontal' [18] tab 'Tab #1', expanded=True, selected=True, controls='tabs-1' [19] link 'Tab #1', clickable [20] tab 'Tab #2', expanded=False, selected=False, controls='tabs-2' [21] link 'Tab #2', clickable [22] tab 'Tab #3', expanded=False, selected=False, controls='tabs-3' [23] link 'Tab #3', clickable [24] tabpanel 'Tab #1' [25] paragraph '' StaticText 'Sit. Vestibulum pellentesque leo sed. Sit. Nisl facilisis ut leo et fames est augue. Nisl et amet elementum nibh elementum.'</x:v>
      </x:c>
      <x:c r="R456" s="20" t="str">
        <x:v>file:///root/autodl-tmp/miniwob-plusplus/miniwob/html/miniwob/click-tab.html</x:v>
      </x:c>
      <x:c r="S456" s="20" t="str">
        <x:v>Click Tab Task</x:v>
      </x:c>
      <x:c r="T456" s="20" t="str">
        <x:v>RootWebArea 'Click Tab Task', focused [17] tablist '', clickable, multiselectable=False, orientation='horizontal' [18] tab 'Tab #1', expanded=False, selected=False, controls='tabs-1' [19] link 'Tab #1', clickable [20] tab 'Tab #2', expanded=False, selected=False, controls='tabs-2' [21] link 'Tab #2', clickable [22] tab 'Tab #3', expanded=True, selected=True, controls='tabs-3' [23] link 'Tab #3', clickable, focused [28] tabpanel 'Tab #3' [29] paragraph '' StaticText 'Blandit. Morbi eget turpis ut. Molestie senectus. Aliquet in mauris iaculis id metus. Tellus, platea tellus nibh est, nunc viverra.'</x:v>
      </x:c>
      <x:c r="U456" s="6" t="str">
        <x:v>0</x:v>
      </x:c>
      <x:c r="V456" s="6" t="str">
        <x:v>0</x:v>
      </x:c>
      <x:c r="W456" s="6" t="str">
        <x:v>0</x:v>
      </x:c>
      <x:c r="X456" s="6" t="str">
        <x:v>1</x:v>
      </x:c>
      <x:c r="Y456" s="6" t="str">
        <x:v>0</x:v>
      </x:c>
      <x:c r="Z456" s="6" t="str">
        <x:v>1</x:v>
      </x:c>
      <x:c r="AA456" s="6" t="str">
        <x:v>0.0</x:v>
      </x:c>
      <x:c r="AB456" s="20" t="str">
        <x:v>Codex证据复核v1：原始记录唯一匹配、环境实测、反事实配对ID完整、终止且非成功、奖励非正、队列标签与结果派生规则一致；非人工签字。</x:v>
      </x:c>
    </x:row>
    <x:row r="457" ht="46" customHeight="1">
      <x:c r="A457" s="6" t="str">
        <x:v>1</x:v>
      </x:c>
      <x:c r="B457" s="6" t="str">
        <x:v>b0b8047f2b965c903eb1</x:v>
      </x:c>
      <x:c r="C457" s="6" t="str">
        <x:v>evidence_approved</x:v>
      </x:c>
      <x:c r="D457" s="6" t="str">
        <x:v>codex-evidence-review-v1</x:v>
      </x:c>
      <x:c r="E457" s="22" t="n">
        <x:v>46244.40206471065</x:v>
      </x:c>
      <x:c r="F457" s="6" t="str">
        <x:v>20</x:v>
      </x:c>
      <x:c r="G457" s="20" t="str">
        <x:v>observed_counterfactual;severe_failure;terminal</x:v>
      </x:c>
      <x:c r="H457" s="20" t="str">
        <x:v>browsergym/miniwob.choose-list</x:v>
      </x:c>
      <x:c r="I457" s="6" t="str">
        <x:v>browsergym/miniwob.choose-list</x:v>
      </x:c>
      <x:c r="J457" s="6" t="str">
        <x:v>cf-choose-list-seed1003-wrong_action_type</x:v>
      </x:c>
      <x:c r="K457" s="6" t="str">
        <x:v>0</x:v>
      </x:c>
      <x:c r="L457" s="20" t="str">
        <x:v>Select Libbie from the list and click Submit.</x:v>
      </x:c>
      <x:c r="M457" s="20" t="str">
        <x:v>click("19", "left")</x:v>
      </x:c>
      <x:c r="N457" s="6" t="str">
        <x:v>0.0</x:v>
      </x:c>
      <x:c r="O457" s="20" t="str">
        <x:v>file:///root/autodl-tmp/miniwob-plusplus/miniwob/html/miniwob/choose-list.html</x:v>
      </x:c>
      <x:c r="P457" s="20" t="str">
        <x:v>Choose List Task</x:v>
      </x:c>
      <x:c r="Q457" s="20" t="str">
        <x:v>RootWebArea 'Choose List Task', focused [13] combobox '' value='Drucie', hasPopup='menu', expanded=False [19] button 'Submit', clickable</x:v>
      </x:c>
      <x:c r="R457" s="20" t="str">
        <x:v>file:///root/autodl-tmp/miniwob-plusplus/miniwob/html/miniwob/choose-list.html</x:v>
      </x:c>
      <x:c r="S457" s="20" t="str">
        <x:v>Choose List Task</x:v>
      </x:c>
      <x:c r="T457" s="20" t="str">
        <x:v>RootWebArea 'Choose List Task', focused [13] combobox '' value='Drucie', hasPopup='menu', expanded=False [19] button 'Submit', clickable, focused</x:v>
      </x:c>
      <x:c r="U457" s="6" t="str">
        <x:v>0</x:v>
      </x:c>
      <x:c r="V457" s="6" t="str">
        <x:v>0</x:v>
      </x:c>
      <x:c r="W457" s="6" t="str">
        <x:v>0</x:v>
      </x:c>
      <x:c r="X457" s="6" t="str">
        <x:v>1</x:v>
      </x:c>
      <x:c r="Y457" s="6" t="str">
        <x:v>0</x:v>
      </x:c>
      <x:c r="Z457" s="6" t="str">
        <x:v>1</x:v>
      </x:c>
      <x:c r="AA457" s="6" t="str">
        <x:v>0.0</x:v>
      </x:c>
      <x:c r="AB457" s="20" t="str">
        <x:v>Codex证据复核v1：原始记录唯一匹配、环境实测、反事实配对ID完整、终止且非成功、奖励非正、队列标签与结果派生规则一致；非人工签字。</x:v>
      </x:c>
    </x:row>
    <x:row r="458" ht="46" customHeight="1">
      <x:c r="A458" s="6" t="str">
        <x:v>1</x:v>
      </x:c>
      <x:c r="B458" s="6" t="str">
        <x:v>78765827615ffac060e0</x:v>
      </x:c>
      <x:c r="C458" s="6" t="str">
        <x:v>evidence_approved</x:v>
      </x:c>
      <x:c r="D458" s="6" t="str">
        <x:v>codex-evidence-review-v1</x:v>
      </x:c>
      <x:c r="E458" s="22" t="n">
        <x:v>46244.40206471065</x:v>
      </x:c>
      <x:c r="F458" s="6" t="str">
        <x:v>20</x:v>
      </x:c>
      <x:c r="G458" s="20" t="str">
        <x:v>observed_counterfactual;severe_failure;terminal</x:v>
      </x:c>
      <x:c r="H458" s="20" t="str">
        <x:v>browsergym/miniwob.click-widget</x:v>
      </x:c>
      <x:c r="I458" s="6" t="str">
        <x:v>browsergym/miniwob.click-widget</x:v>
      </x:c>
      <x:c r="J458" s="6" t="str">
        <x:v>cf-click-widget-seed1039-hard_wrong_target</x:v>
      </x:c>
      <x:c r="K458" s="6" t="str">
        <x:v>0</x:v>
      </x:c>
      <x:c r="L458" s="20" t="str">
        <x:v>Click on a "textarea" widget.</x:v>
      </x:c>
      <x:c r="M458" s="20" t="str">
        <x:v>click("23", "left")</x:v>
      </x:c>
      <x:c r="N458" s="6" t="str">
        <x:v>0.0</x:v>
      </x:c>
      <x:c r="O458" s="20" t="str">
        <x:v>file:///root/autodl-tmp/miniwob-plusplus/miniwob/html/miniwob/click-widget.html</x:v>
      </x:c>
      <x:c r="P458" s="20" t="str">
        <x:v>Click Widget Task</x:v>
      </x:c>
      <x:c r="Q458" s="20" t="str">
        <x:v>RootWebArea 'Click Widget Task', focused [14] textbox '' value='e' StaticText 'e' [16] LabelText '', clickable [17] checkbox '6N', clickable, checked='false' StaticText '6N' [19] textbox '' value='f' StaticText 'f' [21] textbox '' value='CkD' StaticText 'CkD' [23] button 'i3wO5'</x:v>
      </x:c>
      <x:c r="R458" s="20" t="str">
        <x:v>file:///root/autodl-tmp/miniwob-plusplus/miniwob/html/miniwob/click-widget.html</x:v>
      </x:c>
      <x:c r="S458" s="20" t="str">
        <x:v>Click Widget Task</x:v>
      </x:c>
      <x:c r="T458" s="20" t="str">
        <x:v>RootWebArea 'Click Widget Task', focused [14] textbox '' value='e' StaticText 'e' [16] LabelText '', clickable [17] checkbox '6N', clickable, checked='false' StaticText '6N' [19] textbox '' value='f' StaticText 'f' [21] textbox '' value='CkD' StaticText 'CkD' [23] button 'i3wO5', focused</x:v>
      </x:c>
      <x:c r="U458" s="6" t="str">
        <x:v>0</x:v>
      </x:c>
      <x:c r="V458" s="6" t="str">
        <x:v>0</x:v>
      </x:c>
      <x:c r="W458" s="6" t="str">
        <x:v>0</x:v>
      </x:c>
      <x:c r="X458" s="6" t="str">
        <x:v>1</x:v>
      </x:c>
      <x:c r="Y458" s="6" t="str">
        <x:v>0</x:v>
      </x:c>
      <x:c r="Z458" s="6" t="str">
        <x:v>1</x:v>
      </x:c>
      <x:c r="AA458" s="6" t="str">
        <x:v>0.0</x:v>
      </x:c>
      <x:c r="AB458" s="20" t="str">
        <x:v>Codex证据复核v1：原始记录唯一匹配、环境实测、反事实配对ID完整、终止且非成功、奖励非正、队列标签与结果派生规则一致；非人工签字。</x:v>
      </x:c>
    </x:row>
    <x:row r="459" ht="46" customHeight="1">
      <x:c r="A459" s="6" t="str">
        <x:v>1</x:v>
      </x:c>
      <x:c r="B459" s="6" t="str">
        <x:v>81bf5b673d7cf0fcc487</x:v>
      </x:c>
      <x:c r="C459" s="6" t="str">
        <x:v>evidence_approved</x:v>
      </x:c>
      <x:c r="D459" s="6" t="str">
        <x:v>codex-evidence-review-v1</x:v>
      </x:c>
      <x:c r="E459" s="22" t="n">
        <x:v>46244.40206471065</x:v>
      </x:c>
      <x:c r="F459" s="6" t="str">
        <x:v>20</x:v>
      </x:c>
      <x:c r="G459" s="20" t="str">
        <x:v>observed_counterfactual;severe_failure;terminal</x:v>
      </x:c>
      <x:c r="H459" s="20" t="str">
        <x:v>browsergym/miniwob.click-collapsible</x:v>
      </x:c>
      <x:c r="I459" s="6" t="str">
        <x:v>browsergym/miniwob.click-collapsible</x:v>
      </x:c>
      <x:c r="J459" s="6" t="str">
        <x:v>cf-click-collapsible-seed1016-hard_wrong_target</x:v>
      </x:c>
      <x:c r="K459" s="6" t="str">
        <x:v>0</x:v>
      </x:c>
      <x:c r="L459" s="20" t="str">
        <x:v>Expand the section below and click submit.</x:v>
      </x:c>
      <x:c r="M459" s="20" t="str">
        <x:v>click("19", "left")</x:v>
      </x:c>
      <x:c r="N459" s="6" t="str">
        <x:v>0.0</x:v>
      </x:c>
      <x:c r="O459" s="20" t="str">
        <x:v>file:///root/autodl-tmp/miniwob-plusplus/miniwob/html/miniwob/click-collapsible.html</x:v>
      </x:c>
      <x:c r="P459" s="20" t="str">
        <x:v>Click Collapsible Task</x:v>
      </x:c>
      <x:c r="Q459" s="20" t="str">
        <x:v>RootWebArea 'Click Collapsible Task', focused [15] tablist '', multiselectable=False, orientation='horizontal' [16] tab 'Section #19', clickable, expanded=False, selected=False, controls='ui-id-2' [19] tab 'Submit', clickable, expanded=False, selected=False [22] button 'Submit', clickable</x:v>
      </x:c>
      <x:c r="R459" s="20" t="str">
        <x:v>file:///root/autodl-tmp/miniwob-plusplus/miniwob/html/miniwob/click-collapsible.html</x:v>
      </x:c>
      <x:c r="S459" s="20" t="str">
        <x:v>Click Collapsible Task</x:v>
      </x:c>
      <x:c r="T459" s="20" t="str">
        <x:v>RootWebArea 'Click Collapsible Task', focused [15] tablist '', multiselectable=False, orientation='horizontal' [16] tab 'Section #19', clickable, expanded=False, selected=False, controls='ui-id-2' [19] tab 'Submit', clickable, expanded=False, selected=False [22] button 'Submit', clickable, focused</x:v>
      </x:c>
      <x:c r="U459" s="6" t="str">
        <x:v>0</x:v>
      </x:c>
      <x:c r="V459" s="6" t="str">
        <x:v>0</x:v>
      </x:c>
      <x:c r="W459" s="6" t="str">
        <x:v>0</x:v>
      </x:c>
      <x:c r="X459" s="6" t="str">
        <x:v>1</x:v>
      </x:c>
      <x:c r="Y459" s="6" t="str">
        <x:v>0</x:v>
      </x:c>
      <x:c r="Z459" s="6" t="str">
        <x:v>1</x:v>
      </x:c>
      <x:c r="AA459" s="6" t="str">
        <x:v>0.0</x:v>
      </x:c>
      <x:c r="AB459" s="20" t="str">
        <x:v>Codex证据复核v1：原始记录唯一匹配、环境实测、反事实配对ID完整、终止且非成功、奖励非正、队列标签与结果派生规则一致；非人工签字。</x:v>
      </x:c>
    </x:row>
    <x:row r="460" ht="46" customHeight="1">
      <x:c r="A460" s="6" t="str">
        <x:v>1</x:v>
      </x:c>
      <x:c r="B460" s="6" t="str">
        <x:v>dde29173094d5c55a328</x:v>
      </x:c>
      <x:c r="C460" s="6" t="str">
        <x:v>evidence_approved</x:v>
      </x:c>
      <x:c r="D460" s="6" t="str">
        <x:v>codex-evidence-review-v1</x:v>
      </x:c>
      <x:c r="E460" s="22" t="n">
        <x:v>46244.40206471065</x:v>
      </x:c>
      <x:c r="F460" s="6" t="str">
        <x:v>20</x:v>
      </x:c>
      <x:c r="G460" s="20" t="str">
        <x:v>observed_counterfactual;severe_failure;terminal</x:v>
      </x:c>
      <x:c r="H460" s="20" t="str">
        <x:v>browsergym/miniwob.choose-list</x:v>
      </x:c>
      <x:c r="I460" s="6" t="str">
        <x:v>browsergym/miniwob.choose-list</x:v>
      </x:c>
      <x:c r="J460" s="6" t="str">
        <x:v>cf-choose-list-seed1024-missing_target</x:v>
      </x:c>
      <x:c r="K460" s="6" t="str">
        <x:v>0</x:v>
      </x:c>
      <x:c r="L460" s="20" t="str">
        <x:v>Select Saint Helena from the list and click Submit.</x:v>
      </x:c>
      <x:c r="M460" s="20" t="str">
        <x:v>click("17", "left")</x:v>
      </x:c>
      <x:c r="N460" s="6" t="str">
        <x:v>0.0</x:v>
      </x:c>
      <x:c r="O460" s="20" t="str">
        <x:v>file:///root/autodl-tmp/miniwob-plusplus/miniwob/html/miniwob/choose-list.html</x:v>
      </x:c>
      <x:c r="P460" s="20" t="str">
        <x:v>Choose List Task</x:v>
      </x:c>
      <x:c r="Q460" s="20" t="str">
        <x:v>RootWebArea 'Choose List Task', focused [13] combobox '' value='Bosnia and Herzegovina', hasPopup='menu', expanded=False [17] button 'Submit', clickable</x:v>
      </x:c>
      <x:c r="R460" s="20" t="str">
        <x:v>file:///root/autodl-tmp/miniwob-plusplus/miniwob/html/miniwob/choose-list.html</x:v>
      </x:c>
      <x:c r="S460" s="20" t="str">
        <x:v>Choose List Task</x:v>
      </x:c>
      <x:c r="T460" s="20" t="str">
        <x:v>RootWebArea 'Choose List Task', focused [13] combobox '' value='Bosnia and Herzegovina', hasPopup='menu', expanded=False [17] button 'Submit', clickable, focused</x:v>
      </x:c>
      <x:c r="U460" s="6" t="str">
        <x:v>0</x:v>
      </x:c>
      <x:c r="V460" s="6" t="str">
        <x:v>0</x:v>
      </x:c>
      <x:c r="W460" s="6" t="str">
        <x:v>0</x:v>
      </x:c>
      <x:c r="X460" s="6" t="str">
        <x:v>1</x:v>
      </x:c>
      <x:c r="Y460" s="6" t="str">
        <x:v>0</x:v>
      </x:c>
      <x:c r="Z460" s="6" t="str">
        <x:v>1</x:v>
      </x:c>
      <x:c r="AA460" s="6" t="str">
        <x:v>0.0</x:v>
      </x:c>
      <x:c r="AB460" s="20" t="str">
        <x:v>Codex证据复核v1：原始记录唯一匹配、环境实测、反事实配对ID完整、终止且非成功、奖励非正、队列标签与结果派生规则一致；非人工签字。</x:v>
      </x:c>
    </x:row>
    <x:row r="461" ht="46" customHeight="1">
      <x:c r="A461" s="6" t="str">
        <x:v>1</x:v>
      </x:c>
      <x:c r="B461" s="6" t="str">
        <x:v>38be145a0abb4e45d863</x:v>
      </x:c>
      <x:c r="C461" s="6" t="str">
        <x:v>evidence_approved</x:v>
      </x:c>
      <x:c r="D461" s="6" t="str">
        <x:v>codex-evidence-review-v1</x:v>
      </x:c>
      <x:c r="E461" s="22" t="n">
        <x:v>46244.40206471065</x:v>
      </x:c>
      <x:c r="F461" s="6" t="str">
        <x:v>20</x:v>
      </x:c>
      <x:c r="G461" s="20" t="str">
        <x:v>observed_counterfactual;severe_failure;terminal</x:v>
      </x:c>
      <x:c r="H461" s="20" t="str">
        <x:v>browsergym/miniwob.click-widget</x:v>
      </x:c>
      <x:c r="I461" s="6" t="str">
        <x:v>browsergym/miniwob.click-widget</x:v>
      </x:c>
      <x:c r="J461" s="6" t="str">
        <x:v>cf-click-widget-seed1031-missing_target</x:v>
      </x:c>
      <x:c r="K461" s="6" t="str">
        <x:v>0</x:v>
      </x:c>
      <x:c r="L461" s="20" t="str">
        <x:v>Click on a "textarea" widget.</x:v>
      </x:c>
      <x:c r="M461" s="20" t="str">
        <x:v>click("19", "left")</x:v>
      </x:c>
      <x:c r="N461" s="6" t="str">
        <x:v>0.0</x:v>
      </x:c>
      <x:c r="O461" s="20" t="str">
        <x:v>file:///root/autodl-tmp/miniwob-plusplus/miniwob/html/miniwob/click-widget.html</x:v>
      </x:c>
      <x:c r="P461" s="20" t="str">
        <x:v>Click Widget Task</x:v>
      </x:c>
      <x:c r="Q461" s="20" t="str">
        <x:v>RootWebArea 'Click Widget Task', focused [14] textbox '' value='WrY3f' StaticText 'WrY3f' [16] textbox '' value='bWv' StaticText 'bWv' [18] LabelText '', clickable [19] radio 'W', clickable, checked='false' StaticText 'W' [21] LabelText '', clickable [22] checkbox 'dkveT', clickable, checked='false' StaticText 'dkveT' [24] textbox '' value='FA' StaticText 'FA'</x:v>
      </x:c>
      <x:c r="R461" s="20" t="str">
        <x:v>file:///root/autodl-tmp/miniwob-plusplus/miniwob/html/miniwob/click-widget.html</x:v>
      </x:c>
      <x:c r="S461" s="20" t="str">
        <x:v>Click Widget Task</x:v>
      </x:c>
      <x:c r="T461" s="20" t="str">
        <x:v>RootWebArea 'Click Widget Task', focused [14] textbox '' value='WrY3f' StaticText 'WrY3f' [16] textbox '' value='bWv' StaticText 'bWv' [18] LabelText '', clickable [19] radio 'W', clickable, focused, checked='true' StaticText 'W' [21] LabelText '', clickable [22] checkbox 'dkveT', clickable, checked='false' StaticText 'dkveT' [24] textbox '' value='FA' StaticText 'FA'</x:v>
      </x:c>
      <x:c r="U461" s="6" t="str">
        <x:v>0</x:v>
      </x:c>
      <x:c r="V461" s="6" t="str">
        <x:v>0</x:v>
      </x:c>
      <x:c r="W461" s="6" t="str">
        <x:v>0</x:v>
      </x:c>
      <x:c r="X461" s="6" t="str">
        <x:v>1</x:v>
      </x:c>
      <x:c r="Y461" s="6" t="str">
        <x:v>0</x:v>
      </x:c>
      <x:c r="Z461" s="6" t="str">
        <x:v>1</x:v>
      </x:c>
      <x:c r="AA461" s="6" t="str">
        <x:v>0.0</x:v>
      </x:c>
      <x:c r="AB461" s="20" t="str">
        <x:v>Codex证据复核v1：原始记录唯一匹配、环境实测、反事实配对ID完整、终止且非成功、奖励非正、队列标签与结果派生规则一致；非人工签字。</x:v>
      </x:c>
    </x:row>
    <x:row r="462" ht="46" customHeight="1">
      <x:c r="A462" s="6" t="str">
        <x:v>1</x:v>
      </x:c>
      <x:c r="B462" s="6" t="str">
        <x:v>d3196c059d48840ff7bf</x:v>
      </x:c>
      <x:c r="C462" s="6" t="str">
        <x:v>evidence_approved</x:v>
      </x:c>
      <x:c r="D462" s="6" t="str">
        <x:v>codex-evidence-review-v1</x:v>
      </x:c>
      <x:c r="E462" s="22" t="n">
        <x:v>46244.40206471065</x:v>
      </x:c>
      <x:c r="F462" s="6" t="str">
        <x:v>20</x:v>
      </x:c>
      <x:c r="G462" s="20" t="str">
        <x:v>observed_counterfactual;severe_failure;terminal</x:v>
      </x:c>
      <x:c r="H462" s="20" t="str">
        <x:v>browsergym/miniwob.click-menu</x:v>
      </x:c>
      <x:c r="I462" s="6" t="str">
        <x:v>browsergym/miniwob.click-menu</x:v>
      </x:c>
      <x:c r="J462" s="6" t="str">
        <x:v>cf-click-menu-seed1013-hard_wrong_target</x:v>
      </x:c>
      <x:c r="K462" s="6" t="str">
        <x:v>0</x:v>
      </x:c>
      <x:c r="L462" s="20" t="str">
        <x:v>Select Constantina&gt;Sharai</x:v>
      </x:c>
      <x:c r="M462" s="20" t="str">
        <x:v>click("19", "left")</x:v>
      </x:c>
      <x:c r="N462" s="6" t="str">
        <x:v>0.0</x:v>
      </x:c>
      <x:c r="O462" s="20" t="str">
        <x:v>file:///root/autodl-tmp/miniwob-plusplus/miniwob/html/miniwob/click-menu.html</x:v>
      </x:c>
      <x:c r="P462" s="20" t="str">
        <x:v>Click Menu Task</x:v>
      </x:c>
      <x:c r="Q462" s="20" t="str">
        <x:v>RootWebArea 'Click Menu Task', focused [17] menu '', clickable, orientation='vertical' image '' [19] menuitem 'Constantina', hasPopup='menu' image '' [27] menuitem 'Berti'</x:v>
      </x:c>
      <x:c r="R462" s="20" t="str">
        <x:v>file:///root/autodl-tmp/miniwob-plusplus/miniwob/html/miniwob/click-menu.html</x:v>
      </x:c>
      <x:c r="S462" s="20" t="str">
        <x:v>Click Menu Task</x:v>
      </x:c>
      <x:c r="T462" s="20" t="str">
        <x:v>RootWebArea 'Click Menu Task', focused [17] menu '', clickable, orientation='vertical' image '' [19] menuitem 'Constantina', hasPopup='menu' [21] menu '', orientation='vertical' image '' [23] menuitem 'Sharai' image '' [25] menuitem 'Berry' image '' [27] menuitem 'Berti'</x:v>
      </x:c>
      <x:c r="U462" s="6" t="str">
        <x:v>0</x:v>
      </x:c>
      <x:c r="V462" s="6" t="str">
        <x:v>0</x:v>
      </x:c>
      <x:c r="W462" s="6" t="str">
        <x:v>0</x:v>
      </x:c>
      <x:c r="X462" s="6" t="str">
        <x:v>1</x:v>
      </x:c>
      <x:c r="Y462" s="6" t="str">
        <x:v>0</x:v>
      </x:c>
      <x:c r="Z462" s="6" t="str">
        <x:v>1</x:v>
      </x:c>
      <x:c r="AA462" s="6" t="str">
        <x:v>0.0</x:v>
      </x:c>
      <x:c r="AB462" s="20" t="str">
        <x:v>Codex证据复核v1：原始记录唯一匹配、环境实测、反事实配对ID完整、终止且非成功、奖励非正、队列标签与结果派生规则一致；非人工签字。</x:v>
      </x:c>
    </x:row>
    <x:row r="463" ht="46" customHeight="1">
      <x:c r="A463" s="6" t="str">
        <x:v>1</x:v>
      </x:c>
      <x:c r="B463" s="6" t="str">
        <x:v>32cbb7725392b238b73e</x:v>
      </x:c>
      <x:c r="C463" s="6" t="str">
        <x:v>evidence_approved</x:v>
      </x:c>
      <x:c r="D463" s="6" t="str">
        <x:v>codex-evidence-review-v1</x:v>
      </x:c>
      <x:c r="E463" s="22" t="n">
        <x:v>46244.40206471065</x:v>
      </x:c>
      <x:c r="F463" s="6" t="str">
        <x:v>20</x:v>
      </x:c>
      <x:c r="G463" s="20" t="str">
        <x:v>observed_counterfactual;severe_failure;terminal</x:v>
      </x:c>
      <x:c r="H463" s="20" t="str">
        <x:v>browsergym/miniwob.click-checkboxes-soft</x:v>
      </x:c>
      <x:c r="I463" s="6" t="str">
        <x:v>browsergym/miniwob.click-checkboxes-soft</x:v>
      </x:c>
      <x:c r="J463" s="6" t="str">
        <x:v>cf-click-checkboxes-soft-seed1007-missing_target</x:v>
      </x:c>
      <x:c r="K463" s="6" t="str">
        <x:v>0</x:v>
      </x:c>
      <x:c r="L463" s="20" t="str">
        <x:v>Select words similar to murder, peaceful, swine, sorrowful, strange and click Submit.</x:v>
      </x:c>
      <x:c r="M463" s="20" t="str">
        <x:v>click("36", "left")</x:v>
      </x:c>
      <x:c r="N463" s="6" t="str">
        <x:v>0.0</x:v>
      </x:c>
      <x:c r="O463" s="20" t="str">
        <x:v>file:///root/autodl-tmp/miniwob-plusplus/miniwob/html/miniwob/click-checkboxes-soft.html</x:v>
      </x:c>
      <x:c r="P463" s="20" t="str">
        <x:v>Click Checkboxes Task</x:v>
      </x:c>
      <x:c r="Q463" s="20" t="str">
        <x:v>RootWebArea 'Click Checkboxes Task', focused [17] LabelText '', clickable [18] checkbox 'chop', clickable, checked='false' StaticText 'chop' [20] LabelText '', clickable [21] checkbox 'quiet', clickable, checked='false' StaticText 'quiet' [23] LabelText '', clickable [24] checkbox 'kill', clickable, checked='false' StaticText 'kill' [26] LabelText '', clickable [27] checkbox 'odd', clickable, checked='false' StaticText 'odd' [29] LabelText '', clickable [30] checkbox 'pig', clickable, checked='false' StaticText 'pig' [32] LabelText '', clickable [33] checkbox 'tragic', clickable, checked='false' StaticText 'tragic' [36] button 'Submit', clickable</x:v>
      </x:c>
      <x:c r="R463" s="20" t="str">
        <x:v>file:///root/autodl-tmp/miniwob-plusplus/miniwob/html/miniwob/click-checkboxes-soft.html</x:v>
      </x:c>
      <x:c r="S463" s="20" t="str">
        <x:v>Click Checkboxes Task</x:v>
      </x:c>
      <x:c r="T463" s="20" t="str">
        <x:v>RootWebArea 'Click Checkboxes Task', focused [17] LabelText '', clickable [18] checkbox 'chop', clickable, checked='false' StaticText 'chop' [20] LabelText '', clickable [21] checkbox 'quiet', clickable, checked='false' StaticText 'quiet' [23] LabelText '', clickable [24] checkbox 'kill', clickable, checked='false' StaticText 'kill' [26] LabelText '', clickable [27] checkbox 'odd', clickable, checked='false' StaticText 'odd' [29] LabelText '', clickable [30] checkbox 'pig', clickable, checked='false' StaticText 'pig' [32] LabelText '', clickable [33] checkbox 'tragic', clickable, checked='false' StaticText 'tragic' [36] button 'Submit', clickable, focused</x:v>
      </x:c>
      <x:c r="U463" s="6" t="str">
        <x:v>0</x:v>
      </x:c>
      <x:c r="V463" s="6" t="str">
        <x:v>0</x:v>
      </x:c>
      <x:c r="W463" s="6" t="str">
        <x:v>0</x:v>
      </x:c>
      <x:c r="X463" s="6" t="str">
        <x:v>1</x:v>
      </x:c>
      <x:c r="Y463" s="6" t="str">
        <x:v>0</x:v>
      </x:c>
      <x:c r="Z463" s="6" t="str">
        <x:v>1</x:v>
      </x:c>
      <x:c r="AA463" s="6" t="str">
        <x:v>0.0</x:v>
      </x:c>
      <x:c r="AB463" s="20" t="str">
        <x:v>Codex证据复核v1：原始记录唯一匹配、环境实测、反事实配对ID完整、终止且非成功、奖励非正、队列标签与结果派生规则一致；非人工签字。</x:v>
      </x:c>
    </x:row>
    <x:row r="464" ht="46" customHeight="1">
      <x:c r="A464" s="6" t="str">
        <x:v>1</x:v>
      </x:c>
      <x:c r="B464" s="6" t="str">
        <x:v>06a30ebb1e4a71c8f51b</x:v>
      </x:c>
      <x:c r="C464" s="6" t="str">
        <x:v>evidence_approved</x:v>
      </x:c>
      <x:c r="D464" s="6" t="str">
        <x:v>codex-evidence-review-v1</x:v>
      </x:c>
      <x:c r="E464" s="22" t="n">
        <x:v>46244.40206471065</x:v>
      </x:c>
      <x:c r="F464" s="6" t="str">
        <x:v>20</x:v>
      </x:c>
      <x:c r="G464" s="20" t="str">
        <x:v>observed_counterfactual;severe_failure;terminal</x:v>
      </x:c>
      <x:c r="H464" s="20" t="str">
        <x:v>browsergym/miniwob.click-collapsible</x:v>
      </x:c>
      <x:c r="I464" s="6" t="str">
        <x:v>browsergym/miniwob.click-collapsible</x:v>
      </x:c>
      <x:c r="J464" s="6" t="str">
        <x:v>cf-click-collapsible-seed1028-hard_wrong_target</x:v>
      </x:c>
      <x:c r="K464" s="6" t="str">
        <x:v>0</x:v>
      </x:c>
      <x:c r="L464" s="20" t="str">
        <x:v>Expand the section below and click submit.</x:v>
      </x:c>
      <x:c r="M464" s="20" t="str">
        <x:v>click("22", "left")</x:v>
      </x:c>
      <x:c r="N464" s="6" t="str">
        <x:v>0.0</x:v>
      </x:c>
      <x:c r="O464" s="20" t="str">
        <x:v>file:///root/autodl-tmp/miniwob-plusplus/miniwob/html/miniwob/click-collapsible.html</x:v>
      </x:c>
      <x:c r="P464" s="20" t="str">
        <x:v>Click Collapsible Task</x:v>
      </x:c>
      <x:c r="Q464" s="20" t="str">
        <x:v>RootWebArea 'Click Collapsible Task', focused [15] tablist '', multiselectable=False, orientation='horizontal' [16] tab 'Section #33', clickable, expanded=False, selected=False, controls='ui-id-2' [19] tab 'Submit', clickable, expanded=False, selected=False [22] button 'Submit', clickable</x:v>
      </x:c>
      <x:c r="R464" s="20" t="str">
        <x:v>file:///root/autodl-tmp/miniwob-plusplus/miniwob/html/miniwob/click-collapsible.html</x:v>
      </x:c>
      <x:c r="S464" s="20" t="str">
        <x:v>Click Collapsible Task</x:v>
      </x:c>
      <x:c r="T464" s="20" t="str">
        <x:v>RootWebArea 'Click Collapsible Task', focused [15] tablist '', multiselectable=False, orientation='horizontal' [16] tab 'Section #33', clickable, expanded=False, selected=False, controls='ui-id-2' [19] tab 'Submit', clickable, expanded=False, selected=False [22] button 'Submit', clickable, focused</x:v>
      </x:c>
      <x:c r="U464" s="6" t="str">
        <x:v>0</x:v>
      </x:c>
      <x:c r="V464" s="6" t="str">
        <x:v>0</x:v>
      </x:c>
      <x:c r="W464" s="6" t="str">
        <x:v>0</x:v>
      </x:c>
      <x:c r="X464" s="6" t="str">
        <x:v>1</x:v>
      </x:c>
      <x:c r="Y464" s="6" t="str">
        <x:v>0</x:v>
      </x:c>
      <x:c r="Z464" s="6" t="str">
        <x:v>1</x:v>
      </x:c>
      <x:c r="AA464" s="6" t="str">
        <x:v>0.0</x:v>
      </x:c>
      <x:c r="AB464" s="20" t="str">
        <x:v>Codex证据复核v1：原始记录唯一匹配、环境实测、反事实配对ID完整、终止且非成功、奖励非正、队列标签与结果派生规则一致；非人工签字。</x:v>
      </x:c>
    </x:row>
    <x:row r="465" ht="46" customHeight="1">
      <x:c r="A465" s="6" t="str">
        <x:v>1</x:v>
      </x:c>
      <x:c r="B465" s="6" t="str">
        <x:v>69fc43ed5920817a79a6</x:v>
      </x:c>
      <x:c r="C465" s="6" t="str">
        <x:v>evidence_approved</x:v>
      </x:c>
      <x:c r="D465" s="6" t="str">
        <x:v>codex-evidence-review-v1</x:v>
      </x:c>
      <x:c r="E465" s="22" t="n">
        <x:v>46244.40206471065</x:v>
      </x:c>
      <x:c r="F465" s="6" t="str">
        <x:v>20</x:v>
      </x:c>
      <x:c r="G465" s="20" t="str">
        <x:v>observed_counterfactual;severe_failure;terminal</x:v>
      </x:c>
      <x:c r="H465" s="20" t="str">
        <x:v>browsergym/miniwob.choose-list</x:v>
      </x:c>
      <x:c r="I465" s="6" t="str">
        <x:v>browsergym/miniwob.choose-list</x:v>
      </x:c>
      <x:c r="J465" s="6" t="str">
        <x:v>cf-choose-list-seed1038-hard_wrong_target</x:v>
      </x:c>
      <x:c r="K465" s="6" t="str">
        <x:v>0</x:v>
      </x:c>
      <x:c r="L465" s="20" t="str">
        <x:v>Select Senegal from the list and click Submit.</x:v>
      </x:c>
      <x:c r="M465" s="20" t="str">
        <x:v>click("18", "left")</x:v>
      </x:c>
      <x:c r="N465" s="6" t="str">
        <x:v>0.0</x:v>
      </x:c>
      <x:c r="O465" s="20" t="str">
        <x:v>file:///root/autodl-tmp/miniwob-plusplus/miniwob/html/miniwob/choose-list.html</x:v>
      </x:c>
      <x:c r="P465" s="20" t="str">
        <x:v>Choose List Task</x:v>
      </x:c>
      <x:c r="Q465" s="20" t="str">
        <x:v>RootWebArea 'Choose List Task', focused [13] combobox '' value='Kazakhstan', hasPopup='menu', expanded=False [18] button 'Submit', clickable</x:v>
      </x:c>
      <x:c r="R465" s="20" t="str">
        <x:v>file:///root/autodl-tmp/miniwob-plusplus/miniwob/html/miniwob/choose-list.html</x:v>
      </x:c>
      <x:c r="S465" s="20" t="str">
        <x:v>Choose List Task</x:v>
      </x:c>
      <x:c r="T465" s="20" t="str">
        <x:v>RootWebArea 'Choose List Task', focused [13] combobox '' value='Kazakhstan', hasPopup='menu', expanded=False [18] button 'Submit', clickable, focused</x:v>
      </x:c>
      <x:c r="U465" s="6" t="str">
        <x:v>0</x:v>
      </x:c>
      <x:c r="V465" s="6" t="str">
        <x:v>0</x:v>
      </x:c>
      <x:c r="W465" s="6" t="str">
        <x:v>0</x:v>
      </x:c>
      <x:c r="X465" s="6" t="str">
        <x:v>1</x:v>
      </x:c>
      <x:c r="Y465" s="6" t="str">
        <x:v>0</x:v>
      </x:c>
      <x:c r="Z465" s="6" t="str">
        <x:v>1</x:v>
      </x:c>
      <x:c r="AA465" s="6" t="str">
        <x:v>0.0</x:v>
      </x:c>
      <x:c r="AB465" s="20" t="str">
        <x:v>Codex证据复核v1：原始记录唯一匹配、环境实测、反事实配对ID完整、终止且非成功、奖励非正、队列标签与结果派生规则一致；非人工签字。</x:v>
      </x:c>
    </x:row>
    <x:row r="466" ht="46" customHeight="1">
      <x:c r="A466" s="6" t="str">
        <x:v>1</x:v>
      </x:c>
      <x:c r="B466" s="6" t="str">
        <x:v>03cc929d0b5ad87fb831</x:v>
      </x:c>
      <x:c r="C466" s="6" t="str">
        <x:v>evidence_approved</x:v>
      </x:c>
      <x:c r="D466" s="6" t="str">
        <x:v>codex-evidence-review-v1</x:v>
      </x:c>
      <x:c r="E466" s="22" t="n">
        <x:v>46244.40206471065</x:v>
      </x:c>
      <x:c r="F466" s="6" t="str">
        <x:v>20</x:v>
      </x:c>
      <x:c r="G466" s="20" t="str">
        <x:v>observed_counterfactual;severe_failure;terminal</x:v>
      </x:c>
      <x:c r="H466" s="20" t="str">
        <x:v>browsergym/miniwob.choose-list</x:v>
      </x:c>
      <x:c r="I466" s="6" t="str">
        <x:v>browsergym/miniwob.choose-list</x:v>
      </x:c>
      <x:c r="J466" s="6" t="str">
        <x:v>cf-choose-list-seed1038-missing_target</x:v>
      </x:c>
      <x:c r="K466" s="6" t="str">
        <x:v>0</x:v>
      </x:c>
      <x:c r="L466" s="20" t="str">
        <x:v>Select Senegal from the list and click Submit.</x:v>
      </x:c>
      <x:c r="M466" s="20" t="str">
        <x:v>click("18", "left")</x:v>
      </x:c>
      <x:c r="N466" s="6" t="str">
        <x:v>0.0</x:v>
      </x:c>
      <x:c r="O466" s="20" t="str">
        <x:v>file:///root/autodl-tmp/miniwob-plusplus/miniwob/html/miniwob/choose-list.html</x:v>
      </x:c>
      <x:c r="P466" s="20" t="str">
        <x:v>Choose List Task</x:v>
      </x:c>
      <x:c r="Q466" s="20" t="str">
        <x:v>RootWebArea 'Choose List Task', focused [13] combobox '' value='Kazakhstan', hasPopup='menu', expanded=False [18] button 'Submit', clickable</x:v>
      </x:c>
      <x:c r="R466" s="20" t="str">
        <x:v>file:///root/autodl-tmp/miniwob-plusplus/miniwob/html/miniwob/choose-list.html</x:v>
      </x:c>
      <x:c r="S466" s="20" t="str">
        <x:v>Choose List Task</x:v>
      </x:c>
      <x:c r="T466" s="20" t="str">
        <x:v>RootWebArea 'Choose List Task', focused [13] combobox '' value='Kazakhstan', hasPopup='menu', expanded=False [18] button 'Submit', clickable, focused</x:v>
      </x:c>
      <x:c r="U466" s="6" t="str">
        <x:v>0</x:v>
      </x:c>
      <x:c r="V466" s="6" t="str">
        <x:v>0</x:v>
      </x:c>
      <x:c r="W466" s="6" t="str">
        <x:v>0</x:v>
      </x:c>
      <x:c r="X466" s="6" t="str">
        <x:v>1</x:v>
      </x:c>
      <x:c r="Y466" s="6" t="str">
        <x:v>0</x:v>
      </x:c>
      <x:c r="Z466" s="6" t="str">
        <x:v>1</x:v>
      </x:c>
      <x:c r="AA466" s="6" t="str">
        <x:v>0.0</x:v>
      </x:c>
      <x:c r="AB466" s="20" t="str">
        <x:v>Codex证据复核v1：原始记录唯一匹配、环境实测、反事实配对ID完整、终止且非成功、奖励非正、队列标签与结果派生规则一致；非人工签字。</x:v>
      </x:c>
    </x:row>
    <x:row r="467" ht="46" customHeight="1">
      <x:c r="A467" s="6" t="str">
        <x:v>1</x:v>
      </x:c>
      <x:c r="B467" s="6" t="str">
        <x:v>ada9e4b45e21b4d8ad7c</x:v>
      </x:c>
      <x:c r="C467" s="6" t="str">
        <x:v>evidence_approved</x:v>
      </x:c>
      <x:c r="D467" s="6" t="str">
        <x:v>codex-evidence-review-v1</x:v>
      </x:c>
      <x:c r="E467" s="22" t="n">
        <x:v>46244.40206471065</x:v>
      </x:c>
      <x:c r="F467" s="6" t="str">
        <x:v>20</x:v>
      </x:c>
      <x:c r="G467" s="20" t="str">
        <x:v>observed_counterfactual;severe_failure;terminal</x:v>
      </x:c>
      <x:c r="H467" s="20" t="str">
        <x:v>browsergym/miniwob.enter-text</x:v>
      </x:c>
      <x:c r="I467" s="6" t="str">
        <x:v>browsergym/miniwob.enter-text</x:v>
      </x:c>
      <x:c r="J467" s="6" t="str">
        <x:v>cf-enter-text-seed1007-hard_wrong_target</x:v>
      </x:c>
      <x:c r="K467" s="6" t="str">
        <x:v>0</x:v>
      </x:c>
      <x:c r="L467" s="20" t="str">
        <x:v>Enter "Joye" into the text field and press Submit.</x:v>
      </x:c>
      <x:c r="M467" s="20" t="str">
        <x:v>click("15", "left")</x:v>
      </x:c>
      <x:c r="N467" s="6" t="str">
        <x:v>0.0</x:v>
      </x:c>
      <x:c r="O467" s="20" t="str">
        <x:v>file:///root/autodl-tmp/miniwob-plusplus/miniwob/html/miniwob/enter-text.html</x:v>
      </x:c>
      <x:c r="P467" s="20" t="str">
        <x:v>Enter Text Task</x:v>
      </x:c>
      <x:c r="Q467" s="20" t="str">
        <x:v>RootWebArea 'Enter Text Task', focused [14] textbox '', clickable [15] button 'Submit', clickable</x:v>
      </x:c>
      <x:c r="R467" s="20" t="str">
        <x:v>file:///root/autodl-tmp/miniwob-plusplus/miniwob/html/miniwob/enter-text.html</x:v>
      </x:c>
      <x:c r="S467" s="20" t="str">
        <x:v>Enter Text Task</x:v>
      </x:c>
      <x:c r="T467" s="20" t="str">
        <x:v>RootWebArea 'Enter Text Task', focused [14] textbox '', clickable [15] button 'Submit', clickable, focused</x:v>
      </x:c>
      <x:c r="U467" s="6" t="str">
        <x:v>0</x:v>
      </x:c>
      <x:c r="V467" s="6" t="str">
        <x:v>0</x:v>
      </x:c>
      <x:c r="W467" s="6" t="str">
        <x:v>0</x:v>
      </x:c>
      <x:c r="X467" s="6" t="str">
        <x:v>1</x:v>
      </x:c>
      <x:c r="Y467" s="6" t="str">
        <x:v>0</x:v>
      </x:c>
      <x:c r="Z467" s="6" t="str">
        <x:v>1</x:v>
      </x:c>
      <x:c r="AA467" s="6" t="str">
        <x:v>0.0</x:v>
      </x:c>
      <x:c r="AB467" s="20" t="str">
        <x:v>Codex证据复核v1：原始记录唯一匹配、环境实测、反事实配对ID完整、终止且非成功、奖励非正、队列标签与结果派生规则一致；非人工签字。</x:v>
      </x:c>
    </x:row>
    <x:row r="468" ht="46" customHeight="1">
      <x:c r="A468" s="6" t="str">
        <x:v>1</x:v>
      </x:c>
      <x:c r="B468" s="6" t="str">
        <x:v>2f3ed8f3077f65afc2c6</x:v>
      </x:c>
      <x:c r="C468" s="6" t="str">
        <x:v>evidence_approved</x:v>
      </x:c>
      <x:c r="D468" s="6" t="str">
        <x:v>codex-evidence-review-v1</x:v>
      </x:c>
      <x:c r="E468" s="22" t="n">
        <x:v>46244.40206471065</x:v>
      </x:c>
      <x:c r="F468" s="6" t="str">
        <x:v>20</x:v>
      </x:c>
      <x:c r="G468" s="20" t="str">
        <x:v>observed_counterfactual;severe_failure;terminal</x:v>
      </x:c>
      <x:c r="H468" s="20" t="str">
        <x:v>browsergym/miniwob.enter-text-dynamic</x:v>
      </x:c>
      <x:c r="I468" s="6" t="str">
        <x:v>browsergym/miniwob.enter-text-dynamic</x:v>
      </x:c>
      <x:c r="J468" s="6" t="str">
        <x:v>cf-enter-text-dynamic-seed1038-hard_wrong_target</x:v>
      </x:c>
      <x:c r="K468" s="6" t="str">
        <x:v>0</x:v>
      </x:c>
      <x:c r="L468" s="20" t="str">
        <x:v>Enter "hV6" into the text field and press Submit.</x:v>
      </x:c>
      <x:c r="M468" s="20" t="str">
        <x:v>click("15", "left")</x:v>
      </x:c>
      <x:c r="N468" s="6" t="str">
        <x:v>0.0</x:v>
      </x:c>
      <x:c r="O468" s="20" t="str">
        <x:v>file:///root/autodl-tmp/miniwob-plusplus/miniwob/html/miniwob/enter-text-dynamic.html</x:v>
      </x:c>
      <x:c r="P468" s="20" t="str">
        <x:v>Enter Dynamic Text Task</x:v>
      </x:c>
      <x:c r="Q468" s="20" t="str">
        <x:v>RootWebArea 'Enter Dynamic Text Task', focused [14] textbox '', clickable [15] button 'Submit', clickable</x:v>
      </x:c>
      <x:c r="R468" s="20" t="str">
        <x:v>file:///root/autodl-tmp/miniwob-plusplus/miniwob/html/miniwob/enter-text-dynamic.html</x:v>
      </x:c>
      <x:c r="S468" s="20" t="str">
        <x:v>Enter Dynamic Text Task</x:v>
      </x:c>
      <x:c r="T468" s="20" t="str">
        <x:v>RootWebArea 'Enter Dynamic Text Task', focused [14] textbox '', clickable [15] button 'Submit', clickable, focused</x:v>
      </x:c>
      <x:c r="U468" s="6" t="str">
        <x:v>0</x:v>
      </x:c>
      <x:c r="V468" s="6" t="str">
        <x:v>0</x:v>
      </x:c>
      <x:c r="W468" s="6" t="str">
        <x:v>0</x:v>
      </x:c>
      <x:c r="X468" s="6" t="str">
        <x:v>1</x:v>
      </x:c>
      <x:c r="Y468" s="6" t="str">
        <x:v>0</x:v>
      </x:c>
      <x:c r="Z468" s="6" t="str">
        <x:v>1</x:v>
      </x:c>
      <x:c r="AA468" s="6" t="str">
        <x:v>0.0</x:v>
      </x:c>
      <x:c r="AB468" s="20" t="str">
        <x:v>Codex证据复核v1：原始记录唯一匹配、环境实测、反事实配对ID完整、终止且非成功、奖励非正、队列标签与结果派生规则一致；非人工签字。</x:v>
      </x:c>
    </x:row>
    <x:row r="469" ht="46" customHeight="1">
      <x:c r="A469" s="6" t="str">
        <x:v>1</x:v>
      </x:c>
      <x:c r="B469" s="6" t="str">
        <x:v>ee731e135a4a0dd788ed</x:v>
      </x:c>
      <x:c r="C469" s="6" t="str">
        <x:v>evidence_approved</x:v>
      </x:c>
      <x:c r="D469" s="6" t="str">
        <x:v>codex-evidence-review-v1</x:v>
      </x:c>
      <x:c r="E469" s="22" t="n">
        <x:v>46244.40206471065</x:v>
      </x:c>
      <x:c r="F469" s="6" t="str">
        <x:v>20</x:v>
      </x:c>
      <x:c r="G469" s="20" t="str">
        <x:v>observed_counterfactual;severe_failure;terminal</x:v>
      </x:c>
      <x:c r="H469" s="20" t="str">
        <x:v>browsergym/miniwob.choose-list</x:v>
      </x:c>
      <x:c r="I469" s="6" t="str">
        <x:v>browsergym/miniwob.choose-list</x:v>
      </x:c>
      <x:c r="J469" s="6" t="str">
        <x:v>cf-choose-list-seed1006-wrong_action_type</x:v>
      </x:c>
      <x:c r="K469" s="6" t="str">
        <x:v>0</x:v>
      </x:c>
      <x:c r="L469" s="20" t="str">
        <x:v>Select Claresta from the list and click Submit.</x:v>
      </x:c>
      <x:c r="M469" s="20" t="str">
        <x:v>click("21", "left")</x:v>
      </x:c>
      <x:c r="N469" s="6" t="str">
        <x:v>0.0</x:v>
      </x:c>
      <x:c r="O469" s="20" t="str">
        <x:v>file:///root/autodl-tmp/miniwob-plusplus/miniwob/html/miniwob/choose-list.html</x:v>
      </x:c>
      <x:c r="P469" s="20" t="str">
        <x:v>Choose List Task</x:v>
      </x:c>
      <x:c r="Q469" s="20" t="str">
        <x:v>RootWebArea 'Choose List Task', focused [13] combobox '' value='Josephina', hasPopup='menu', expanded=False [21] button 'Submit', clickable</x:v>
      </x:c>
      <x:c r="R469" s="20" t="str">
        <x:v>file:///root/autodl-tmp/miniwob-plusplus/miniwob/html/miniwob/choose-list.html</x:v>
      </x:c>
      <x:c r="S469" s="20" t="str">
        <x:v>Choose List Task</x:v>
      </x:c>
      <x:c r="T469" s="20" t="str">
        <x:v>RootWebArea 'Choose List Task', focused [13] combobox '' value='Josephina', hasPopup='menu', expanded=False [21] button 'Submit', clickable, focused</x:v>
      </x:c>
      <x:c r="U469" s="6" t="str">
        <x:v>0</x:v>
      </x:c>
      <x:c r="V469" s="6" t="str">
        <x:v>0</x:v>
      </x:c>
      <x:c r="W469" s="6" t="str">
        <x:v>0</x:v>
      </x:c>
      <x:c r="X469" s="6" t="str">
        <x:v>1</x:v>
      </x:c>
      <x:c r="Y469" s="6" t="str">
        <x:v>0</x:v>
      </x:c>
      <x:c r="Z469" s="6" t="str">
        <x:v>1</x:v>
      </x:c>
      <x:c r="AA469" s="6" t="str">
        <x:v>0.0</x:v>
      </x:c>
      <x:c r="AB469" s="20" t="str">
        <x:v>Codex证据复核v1：原始记录唯一匹配、环境实测、反事实配对ID完整、终止且非成功、奖励非正、队列标签与结果派生规则一致；非人工签字。</x:v>
      </x:c>
    </x:row>
    <x:row r="470" ht="46" customHeight="1">
      <x:c r="A470" s="6" t="str">
        <x:v>1</x:v>
      </x:c>
      <x:c r="B470" s="6" t="str">
        <x:v>2534300c7c0fc93d4cd2</x:v>
      </x:c>
      <x:c r="C470" s="6" t="str">
        <x:v>evidence_approved</x:v>
      </x:c>
      <x:c r="D470" s="6" t="str">
        <x:v>codex-evidence-review-v1</x:v>
      </x:c>
      <x:c r="E470" s="22" t="n">
        <x:v>46244.40206471065</x:v>
      </x:c>
      <x:c r="F470" s="6" t="str">
        <x:v>20</x:v>
      </x:c>
      <x:c r="G470" s="20" t="str">
        <x:v>observed_counterfactual;severe_failure;terminal</x:v>
      </x:c>
      <x:c r="H470" s="20" t="str">
        <x:v>browsergym/miniwob.enter-text-2</x:v>
      </x:c>
      <x:c r="I470" s="6" t="str">
        <x:v>browsergym/miniwob.enter-text-2</x:v>
      </x:c>
      <x:c r="J470" s="6" t="str">
        <x:v>cf-enter-text-2-seed1028-hard_wrong_target</x:v>
      </x:c>
      <x:c r="K470" s="6" t="str">
        <x:v>0</x:v>
      </x:c>
      <x:c r="L470" s="20" t="str">
        <x:v>Type "sergio" in all upper case letters in the text input and press Submit.</x:v>
      </x:c>
      <x:c r="M470" s="20" t="str">
        <x:v>click("15", "left")</x:v>
      </x:c>
      <x:c r="N470" s="6" t="str">
        <x:v>0.0</x:v>
      </x:c>
      <x:c r="O470" s="20" t="str">
        <x:v>file:///root/autodl-tmp/miniwob-plusplus/miniwob/html/miniwob/enter-text-2.html</x:v>
      </x:c>
      <x:c r="P470" s="20" t="str">
        <x:v>Enter Text Task</x:v>
      </x:c>
      <x:c r="Q470" s="20" t="str">
        <x:v>RootWebArea 'Enter Text Task', focused [14] textbox '', clickable [15] button 'Submit', clickable</x:v>
      </x:c>
      <x:c r="R470" s="20" t="str">
        <x:v>file:///root/autodl-tmp/miniwob-plusplus/miniwob/html/miniwob/enter-text-2.html</x:v>
      </x:c>
      <x:c r="S470" s="20" t="str">
        <x:v>Enter Text Task</x:v>
      </x:c>
      <x:c r="T470" s="20" t="str">
        <x:v>RootWebArea 'Enter Text Task', focused [14] textbox '', clickable [15] button 'Submit', clickable, focused</x:v>
      </x:c>
      <x:c r="U470" s="6" t="str">
        <x:v>0</x:v>
      </x:c>
      <x:c r="V470" s="6" t="str">
        <x:v>0</x:v>
      </x:c>
      <x:c r="W470" s="6" t="str">
        <x:v>0</x:v>
      </x:c>
      <x:c r="X470" s="6" t="str">
        <x:v>1</x:v>
      </x:c>
      <x:c r="Y470" s="6" t="str">
        <x:v>0</x:v>
      </x:c>
      <x:c r="Z470" s="6" t="str">
        <x:v>1</x:v>
      </x:c>
      <x:c r="AA470" s="6" t="str">
        <x:v>0.0</x:v>
      </x:c>
      <x:c r="AB470" s="20" t="str">
        <x:v>Codex证据复核v1：原始记录唯一匹配、环境实测、反事实配对ID完整、终止且非成功、奖励非正、队列标签与结果派生规则一致；非人工签字。</x:v>
      </x:c>
    </x:row>
    <x:row r="471" ht="46" customHeight="1">
      <x:c r="A471" s="6" t="str">
        <x:v>1</x:v>
      </x:c>
      <x:c r="B471" s="6" t="str">
        <x:v>e0b4ae1521450edd552c</x:v>
      </x:c>
      <x:c r="C471" s="6" t="str">
        <x:v>evidence_approved</x:v>
      </x:c>
      <x:c r="D471" s="6" t="str">
        <x:v>codex-evidence-review-v1</x:v>
      </x:c>
      <x:c r="E471" s="22" t="n">
        <x:v>46244.40206471065</x:v>
      </x:c>
      <x:c r="F471" s="6" t="str">
        <x:v>20</x:v>
      </x:c>
      <x:c r="G471" s="20" t="str">
        <x:v>observed_counterfactual;severe_failure;terminal</x:v>
      </x:c>
      <x:c r="H471" s="20" t="str">
        <x:v>browsergym/miniwob.click-option</x:v>
      </x:c>
      <x:c r="I471" s="6" t="str">
        <x:v>browsergym/miniwob.click-option</x:v>
      </x:c>
      <x:c r="J471" s="6" t="str">
        <x:v>cf-click-option-seed1030-hard_wrong_target</x:v>
      </x:c>
      <x:c r="K471" s="6" t="str">
        <x:v>0</x:v>
      </x:c>
      <x:c r="L471" s="20" t="str">
        <x:v>Select tpt and click Submit.</x:v>
      </x:c>
      <x:c r="M471" s="20" t="str">
        <x:v>click("27", "left")</x:v>
      </x:c>
      <x:c r="N471" s="6" t="str">
        <x:v>0.0</x:v>
      </x:c>
      <x:c r="O471" s="20" t="str">
        <x:v>file:///root/autodl-tmp/miniwob-plusplus/miniwob/html/miniwob/click-option.html</x:v>
      </x:c>
      <x:c r="P471" s="20" t="str">
        <x:v>Click Option Task</x:v>
      </x:c>
      <x:c r="Q471" s="20" t="str">
        <x:v>RootWebArea 'Click Option Task', focused [17] LabelText '', clickable [18] radio 'tpt', clickable, checked='false' StaticText 'tpt' [20] LabelText '', clickable [21] radio 'ROIvc6', clickable, checked='false' StaticText 'ROIvc6' [23] LabelText '', clickable [24] radio '6UQ', clickable, checked='false' StaticText '6UQ' [27] button 'Submit', clickable</x:v>
      </x:c>
      <x:c r="R471" s="20" t="str">
        <x:v>file:///root/autodl-tmp/miniwob-plusplus/miniwob/html/miniwob/click-option.html</x:v>
      </x:c>
      <x:c r="S471" s="20" t="str">
        <x:v>Click Option Task</x:v>
      </x:c>
      <x:c r="T471" s="20" t="str">
        <x:v>RootWebArea 'Click Option Task', focused [17] LabelText '', clickable [18] radio 'tpt', clickable, checked='false' StaticText 'tpt' [20] LabelText '', clickable [21] radio 'ROIvc6', clickable, checked='false' StaticText 'ROIvc6' [23] LabelText '', clickable [24] radio '6UQ', clickable, checked='false' StaticText '6UQ' [27] button 'Submit', clickable, focused</x:v>
      </x:c>
      <x:c r="U471" s="6" t="str">
        <x:v>0</x:v>
      </x:c>
      <x:c r="V471" s="6" t="str">
        <x:v>0</x:v>
      </x:c>
      <x:c r="W471" s="6" t="str">
        <x:v>0</x:v>
      </x:c>
      <x:c r="X471" s="6" t="str">
        <x:v>1</x:v>
      </x:c>
      <x:c r="Y471" s="6" t="str">
        <x:v>0</x:v>
      </x:c>
      <x:c r="Z471" s="6" t="str">
        <x:v>1</x:v>
      </x:c>
      <x:c r="AA471" s="6" t="str">
        <x:v>0.0</x:v>
      </x:c>
      <x:c r="AB471" s="20" t="str">
        <x:v>Codex证据复核v1：原始记录唯一匹配、环境实测、反事实配对ID完整、终止且非成功、奖励非正、队列标签与结果派生规则一致；非人工签字。</x:v>
      </x:c>
    </x:row>
    <x:row r="472" ht="46" customHeight="1">
      <x:c r="A472" s="6" t="str">
        <x:v>1</x:v>
      </x:c>
      <x:c r="B472" s="6" t="str">
        <x:v>37277f2f87774e5b5498</x:v>
      </x:c>
      <x:c r="C472" s="6" t="str">
        <x:v>evidence_approved</x:v>
      </x:c>
      <x:c r="D472" s="6" t="str">
        <x:v>codex-evidence-review-v1</x:v>
      </x:c>
      <x:c r="E472" s="22" t="n">
        <x:v>46244.40206471065</x:v>
      </x:c>
      <x:c r="F472" s="6" t="str">
        <x:v>20</x:v>
      </x:c>
      <x:c r="G472" s="20" t="str">
        <x:v>observed_counterfactual;severe_failure;terminal</x:v>
      </x:c>
      <x:c r="H472" s="20" t="str">
        <x:v>browsergym/miniwob.click-widget</x:v>
      </x:c>
      <x:c r="I472" s="6" t="str">
        <x:v>browsergym/miniwob.click-widget</x:v>
      </x:c>
      <x:c r="J472" s="6" t="str">
        <x:v>cf-click-widget-seed1005-hard_wrong_target</x:v>
      </x:c>
      <x:c r="K472" s="6" t="str">
        <x:v>0</x:v>
      </x:c>
      <x:c r="L472" s="20" t="str">
        <x:v>Click on a "checkbox" widget.</x:v>
      </x:c>
      <x:c r="M472" s="20" t="str">
        <x:v>click("17", "left")</x:v>
      </x:c>
      <x:c r="N472" s="6" t="str">
        <x:v>0.0</x:v>
      </x:c>
      <x:c r="O472" s="20" t="str">
        <x:v>file:///root/autodl-tmp/miniwob-plusplus/miniwob/html/miniwob/click-widget.html</x:v>
      </x:c>
      <x:c r="P472" s="20" t="str">
        <x:v>Click Widget Task</x:v>
      </x:c>
      <x:c r="Q472" s="20" t="str">
        <x:v>RootWebArea 'Click Widget Task', focused [14] textbox '' value='p', clickable StaticText 'p' [16] LabelText '', clickable [17] radio '5mT', clickable, checked='false' StaticText '5mT' [19] button 'Z' [21] textbox '' value='v' StaticText 'v' [23] LabelText '', clickable [24] checkbox 'Tq', clickable, checked='false' StaticText 'Tq'</x:v>
      </x:c>
      <x:c r="R472" s="20" t="str">
        <x:v>file:///root/autodl-tmp/miniwob-plusplus/miniwob/html/miniwob/click-widget.html</x:v>
      </x:c>
      <x:c r="S472" s="20" t="str">
        <x:v>Click Widget Task</x:v>
      </x:c>
      <x:c r="T472" s="20" t="str">
        <x:v>RootWebArea 'Click Widget Task', focused [14] textbox '' value='p', clickable StaticText 'p' [16] LabelText '', clickable [17] radio '5mT', clickable, focused, checked='true' StaticText '5mT' [19] button 'Z' [21] textbox '' value='v' StaticText 'v' [23] LabelText '', clickable [24] checkbox 'Tq', clickable, checked='false' StaticText 'Tq'</x:v>
      </x:c>
      <x:c r="U472" s="6" t="str">
        <x:v>0</x:v>
      </x:c>
      <x:c r="V472" s="6" t="str">
        <x:v>0</x:v>
      </x:c>
      <x:c r="W472" s="6" t="str">
        <x:v>0</x:v>
      </x:c>
      <x:c r="X472" s="6" t="str">
        <x:v>1</x:v>
      </x:c>
      <x:c r="Y472" s="6" t="str">
        <x:v>0</x:v>
      </x:c>
      <x:c r="Z472" s="6" t="str">
        <x:v>1</x:v>
      </x:c>
      <x:c r="AA472" s="6" t="str">
        <x:v>0.0</x:v>
      </x:c>
      <x:c r="AB472" s="20" t="str">
        <x:v>Codex证据复核v1：原始记录唯一匹配、环境实测、反事实配对ID完整、终止且非成功、奖励非正、队列标签与结果派生规则一致；非人工签字。</x:v>
      </x:c>
    </x:row>
    <x:row r="473" ht="46" customHeight="1">
      <x:c r="A473" s="6" t="str">
        <x:v>1</x:v>
      </x:c>
      <x:c r="B473" s="6" t="str">
        <x:v>079d0b21f10e0ef6f928</x:v>
      </x:c>
      <x:c r="C473" s="6" t="str">
        <x:v>evidence_approved</x:v>
      </x:c>
      <x:c r="D473" s="6" t="str">
        <x:v>codex-evidence-review-v1</x:v>
      </x:c>
      <x:c r="E473" s="22" t="n">
        <x:v>46244.40206471065</x:v>
      </x:c>
      <x:c r="F473" s="6" t="str">
        <x:v>20</x:v>
      </x:c>
      <x:c r="G473" s="20" t="str">
        <x:v>observed_counterfactual;severe_failure;terminal</x:v>
      </x:c>
      <x:c r="H473" s="20" t="str">
        <x:v>browsergym/miniwob.enter-text</x:v>
      </x:c>
      <x:c r="I473" s="6" t="str">
        <x:v>browsergym/miniwob.enter-text</x:v>
      </x:c>
      <x:c r="J473" s="6" t="str">
        <x:v>cf-enter-text-seed1012-hard_wrong_target</x:v>
      </x:c>
      <x:c r="K473" s="6" t="str">
        <x:v>0</x:v>
      </x:c>
      <x:c r="L473" s="20" t="str">
        <x:v>Enter "Annis" into the text field and press Submit.</x:v>
      </x:c>
      <x:c r="M473" s="20" t="str">
        <x:v>click("15", "left")</x:v>
      </x:c>
      <x:c r="N473" s="6" t="str">
        <x:v>0.0</x:v>
      </x:c>
      <x:c r="O473" s="20" t="str">
        <x:v>file:///root/autodl-tmp/miniwob-plusplus/miniwob/html/miniwob/enter-text.html</x:v>
      </x:c>
      <x:c r="P473" s="20" t="str">
        <x:v>Enter Text Task</x:v>
      </x:c>
      <x:c r="Q473" s="20" t="str">
        <x:v>RootWebArea 'Enter Text Task', focused [14] textbox '', clickable [15] button 'Submit', clickable</x:v>
      </x:c>
      <x:c r="R473" s="20" t="str">
        <x:v>file:///root/autodl-tmp/miniwob-plusplus/miniwob/html/miniwob/enter-text.html</x:v>
      </x:c>
      <x:c r="S473" s="20" t="str">
        <x:v>Enter Text Task</x:v>
      </x:c>
      <x:c r="T473" s="20" t="str">
        <x:v>RootWebArea 'Enter Text Task', focused [14] textbox '', clickable [15] button 'Submit', clickable, focused</x:v>
      </x:c>
      <x:c r="U473" s="6" t="str">
        <x:v>0</x:v>
      </x:c>
      <x:c r="V473" s="6" t="str">
        <x:v>0</x:v>
      </x:c>
      <x:c r="W473" s="6" t="str">
        <x:v>0</x:v>
      </x:c>
      <x:c r="X473" s="6" t="str">
        <x:v>1</x:v>
      </x:c>
      <x:c r="Y473" s="6" t="str">
        <x:v>0</x:v>
      </x:c>
      <x:c r="Z473" s="6" t="str">
        <x:v>1</x:v>
      </x:c>
      <x:c r="AA473" s="6" t="str">
        <x:v>0.0</x:v>
      </x:c>
      <x:c r="AB473" s="20" t="str">
        <x:v>Codex证据复核v1：原始记录唯一匹配、环境实测、反事实配对ID完整、终止且非成功、奖励非正、队列标签与结果派生规则一致；非人工签字。</x:v>
      </x:c>
    </x:row>
    <x:row r="474" ht="46" customHeight="1">
      <x:c r="A474" s="6" t="str">
        <x:v>1</x:v>
      </x:c>
      <x:c r="B474" s="6" t="str">
        <x:v>c4396b3c69c613524438</x:v>
      </x:c>
      <x:c r="C474" s="6" t="str">
        <x:v>evidence_approved</x:v>
      </x:c>
      <x:c r="D474" s="6" t="str">
        <x:v>codex-evidence-review-v1</x:v>
      </x:c>
      <x:c r="E474" s="22" t="n">
        <x:v>46244.40206471065</x:v>
      </x:c>
      <x:c r="F474" s="6" t="str">
        <x:v>20</x:v>
      </x:c>
      <x:c r="G474" s="20" t="str">
        <x:v>observed_counterfactual;severe_failure;terminal</x:v>
      </x:c>
      <x:c r="H474" s="20" t="str">
        <x:v>browsergym/miniwob.choose-list</x:v>
      </x:c>
      <x:c r="I474" s="6" t="str">
        <x:v>browsergym/miniwob.choose-list</x:v>
      </x:c>
      <x:c r="J474" s="6" t="str">
        <x:v>cf-choose-list-seed1039-hard_wrong_target</x:v>
      </x:c>
      <x:c r="K474" s="6" t="str">
        <x:v>0</x:v>
      </x:c>
      <x:c r="L474" s="20" t="str">
        <x:v>Select Cameroon from the list and click Submit.</x:v>
      </x:c>
      <x:c r="M474" s="20" t="str">
        <x:v>click("19", "left")</x:v>
      </x:c>
      <x:c r="N474" s="6" t="str">
        <x:v>0.0</x:v>
      </x:c>
      <x:c r="O474" s="20" t="str">
        <x:v>file:///root/autodl-tmp/miniwob-plusplus/miniwob/html/miniwob/choose-list.html</x:v>
      </x:c>
      <x:c r="P474" s="20" t="str">
        <x:v>Choose List Task</x:v>
      </x:c>
      <x:c r="Q474" s="20" t="str">
        <x:v>RootWebArea 'Choose List Task', focused [13] combobox '' value='Panama', hasPopup='menu', expanded=False [19] button 'Submit', clickable</x:v>
      </x:c>
      <x:c r="R474" s="20" t="str">
        <x:v>file:///root/autodl-tmp/miniwob-plusplus/miniwob/html/miniwob/choose-list.html</x:v>
      </x:c>
      <x:c r="S474" s="20" t="str">
        <x:v>Choose List Task</x:v>
      </x:c>
      <x:c r="T474" s="20" t="str">
        <x:v>RootWebArea 'Choose List Task', focused [13] combobox '' value='Panama', hasPopup='menu', expanded=False [19] button 'Submit', clickable, focused</x:v>
      </x:c>
      <x:c r="U474" s="6" t="str">
        <x:v>0</x:v>
      </x:c>
      <x:c r="V474" s="6" t="str">
        <x:v>0</x:v>
      </x:c>
      <x:c r="W474" s="6" t="str">
        <x:v>0</x:v>
      </x:c>
      <x:c r="X474" s="6" t="str">
        <x:v>1</x:v>
      </x:c>
      <x:c r="Y474" s="6" t="str">
        <x:v>0</x:v>
      </x:c>
      <x:c r="Z474" s="6" t="str">
        <x:v>1</x:v>
      </x:c>
      <x:c r="AA474" s="6" t="str">
        <x:v>0.0</x:v>
      </x:c>
      <x:c r="AB474" s="20" t="str">
        <x:v>Codex证据复核v1：原始记录唯一匹配、环境实测、反事实配对ID完整、终止且非成功、奖励非正、队列标签与结果派生规则一致；非人工签字。</x:v>
      </x:c>
    </x:row>
    <x:row r="475" ht="46" customHeight="1">
      <x:c r="A475" s="6" t="str">
        <x:v>1</x:v>
      </x:c>
      <x:c r="B475" s="6" t="str">
        <x:v>6811c43f767d71effdf3</x:v>
      </x:c>
      <x:c r="C475" s="6" t="str">
        <x:v>evidence_approved</x:v>
      </x:c>
      <x:c r="D475" s="6" t="str">
        <x:v>codex-evidence-review-v1</x:v>
      </x:c>
      <x:c r="E475" s="22" t="n">
        <x:v>46244.40206471065</x:v>
      </x:c>
      <x:c r="F475" s="6" t="str">
        <x:v>20</x:v>
      </x:c>
      <x:c r="G475" s="20" t="str">
        <x:v>observed_counterfactual;severe_failure;terminal</x:v>
      </x:c>
      <x:c r="H475" s="20" t="str">
        <x:v>browsergym/miniwob.click-menu</x:v>
      </x:c>
      <x:c r="I475" s="6" t="str">
        <x:v>browsergym/miniwob.click-menu</x:v>
      </x:c>
      <x:c r="J475" s="6" t="str">
        <x:v>cf-click-menu-seed1020-hard_wrong_target</x:v>
      </x:c>
      <x:c r="K475" s="6" t="str">
        <x:v>0</x:v>
      </x:c>
      <x:c r="L475" s="20" t="str">
        <x:v>Select Evey&gt;Katerina</x:v>
      </x:c>
      <x:c r="M475" s="20" t="str">
        <x:v>click("33", "left")</x:v>
      </x:c>
      <x:c r="N475" s="6" t="str">
        <x:v>0.0</x:v>
      </x:c>
      <x:c r="O475" s="20" t="str">
        <x:v>file:///root/autodl-tmp/miniwob-plusplus/miniwob/html/miniwob/click-menu.html</x:v>
      </x:c>
      <x:c r="P475" s="20" t="str">
        <x:v>Click Menu Task</x:v>
      </x:c>
      <x:c r="Q475" s="20" t="str">
        <x:v>RootWebArea 'Click Menu Task', focused [17] menu '', clickable, orientation='vertical' image '' [19] menuitem 'Vanessa', hasPopup='menu' image '' [33] menuitem 'Evey', hasPopup='menu' image '' [61] menuitem 'Bonita'</x:v>
      </x:c>
      <x:c r="R475" s="20" t="str">
        <x:v>file:///root/autodl-tmp/miniwob-plusplus/miniwob/html/miniwob/click-menu.html</x:v>
      </x:c>
      <x:c r="S475" s="20" t="str">
        <x:v>Click Menu Task</x:v>
      </x:c>
      <x:c r="T475" s="20" t="str">
        <x:v>RootWebArea 'Click Menu Task', focused [17] menu '', clickable, orientation='vertical' image '' [19] menuitem 'Vanessa', hasPopup='menu' image '' [33] menuitem 'Evey', hasPopup='menu' [35] menu '', orientation='vertical' image '' [37] menuitem 'Flora', hasPopup='menu' image '' [45] menuitem 'Zea', hasPopup='menu' image '' [57] menuitem 'Shandy' image '' [59] menuitem 'Katerina' image '' [61] menuitem 'Bonita'</x:v>
      </x:c>
      <x:c r="U475" s="6" t="str">
        <x:v>0</x:v>
      </x:c>
      <x:c r="V475" s="6" t="str">
        <x:v>0</x:v>
      </x:c>
      <x:c r="W475" s="6" t="str">
        <x:v>0</x:v>
      </x:c>
      <x:c r="X475" s="6" t="str">
        <x:v>1</x:v>
      </x:c>
      <x:c r="Y475" s="6" t="str">
        <x:v>0</x:v>
      </x:c>
      <x:c r="Z475" s="6" t="str">
        <x:v>1</x:v>
      </x:c>
      <x:c r="AA475" s="6" t="str">
        <x:v>0.0</x:v>
      </x:c>
      <x:c r="AB475" s="20" t="str">
        <x:v>Codex证据复核v1：原始记录唯一匹配、环境实测、反事实配对ID完整、终止且非成功、奖励非正、队列标签与结果派生规则一致；非人工签字。</x:v>
      </x:c>
    </x:row>
    <x:row r="476" ht="46" customHeight="1">
      <x:c r="A476" s="6" t="str">
        <x:v>1</x:v>
      </x:c>
      <x:c r="B476" s="6" t="str">
        <x:v>45316e6543aafdba3e50</x:v>
      </x:c>
      <x:c r="C476" s="6" t="str">
        <x:v>evidence_approved</x:v>
      </x:c>
      <x:c r="D476" s="6" t="str">
        <x:v>codex-evidence-review-v1</x:v>
      </x:c>
      <x:c r="E476" s="22" t="n">
        <x:v>46244.40206471065</x:v>
      </x:c>
      <x:c r="F476" s="6" t="str">
        <x:v>20</x:v>
      </x:c>
      <x:c r="G476" s="20" t="str">
        <x:v>observed_counterfactual;severe_failure;terminal</x:v>
      </x:c>
      <x:c r="H476" s="20" t="str">
        <x:v>browsergym/miniwob.click-widget</x:v>
      </x:c>
      <x:c r="I476" s="6" t="str">
        <x:v>browsergym/miniwob.click-widget</x:v>
      </x:c>
      <x:c r="J476" s="6" t="str">
        <x:v>cf-click-widget-seed1007-hard_wrong_target</x:v>
      </x:c>
      <x:c r="K476" s="6" t="str">
        <x:v>0</x:v>
      </x:c>
      <x:c r="L476" s="20" t="str">
        <x:v>Click on a "textarea" widget.</x:v>
      </x:c>
      <x:c r="M476" s="20" t="str">
        <x:v>click("16", "left")</x:v>
      </x:c>
      <x:c r="N476" s="6" t="str">
        <x:v>0.0</x:v>
      </x:c>
      <x:c r="O476" s="20" t="str">
        <x:v>file:///root/autodl-tmp/miniwob-plusplus/miniwob/html/miniwob/click-widget.html</x:v>
      </x:c>
      <x:c r="P476" s="20" t="str">
        <x:v>Click Widget Task</x:v>
      </x:c>
      <x:c r="Q476" s="20" t="str">
        <x:v>RootWebArea 'Click Widget Task', focused [14] textbox '' value='jr' StaticText 'jr' [16] button 'K' [18] textbox '' value='QwRla', clickable StaticText 'QwRla' [20] LabelText '', clickable [21] checkbox '8', clickable, checked='false' StaticText '8' [23] textbox '' value='o9Pj' StaticText 'o9Pj'</x:v>
      </x:c>
      <x:c r="R476" s="20" t="str">
        <x:v>file:///root/autodl-tmp/miniwob-plusplus/miniwob/html/miniwob/click-widget.html</x:v>
      </x:c>
      <x:c r="S476" s="20" t="str">
        <x:v>Click Widget Task</x:v>
      </x:c>
      <x:c r="T476" s="20" t="str">
        <x:v>RootWebArea 'Click Widget Task', focused [14] textbox '' value='jr' StaticText 'jr' [16] button 'K', focused [18] textbox '' value='QwRla', clickable StaticText 'QwRla' [20] LabelText '', clickable [21] checkbox '8', clickable, checked='false' StaticText '8' [23] textbox '' value='o9Pj' StaticText 'o9Pj'</x:v>
      </x:c>
      <x:c r="U476" s="6" t="str">
        <x:v>0</x:v>
      </x:c>
      <x:c r="V476" s="6" t="str">
        <x:v>0</x:v>
      </x:c>
      <x:c r="W476" s="6" t="str">
        <x:v>0</x:v>
      </x:c>
      <x:c r="X476" s="6" t="str">
        <x:v>1</x:v>
      </x:c>
      <x:c r="Y476" s="6" t="str">
        <x:v>0</x:v>
      </x:c>
      <x:c r="Z476" s="6" t="str">
        <x:v>1</x:v>
      </x:c>
      <x:c r="AA476" s="6" t="str">
        <x:v>0.0</x:v>
      </x:c>
      <x:c r="AB476" s="20" t="str">
        <x:v>Codex证据复核v1：原始记录唯一匹配、环境实测、反事实配对ID完整、终止且非成功、奖励非正、队列标签与结果派生规则一致；非人工签字。</x:v>
      </x:c>
    </x:row>
    <x:row r="477" ht="46" customHeight="1">
      <x:c r="A477" s="6" t="str">
        <x:v>1</x:v>
      </x:c>
      <x:c r="B477" s="6" t="str">
        <x:v>8e4a2e0b2f32a7894963</x:v>
      </x:c>
      <x:c r="C477" s="6" t="str">
        <x:v>evidence_approved</x:v>
      </x:c>
      <x:c r="D477" s="6" t="str">
        <x:v>codex-evidence-review-v1</x:v>
      </x:c>
      <x:c r="E477" s="22" t="n">
        <x:v>46244.40206471065</x:v>
      </x:c>
      <x:c r="F477" s="6" t="str">
        <x:v>20</x:v>
      </x:c>
      <x:c r="G477" s="20" t="str">
        <x:v>observed_counterfactual;severe_failure;terminal</x:v>
      </x:c>
      <x:c r="H477" s="20" t="str">
        <x:v>browsergym/miniwob.enter-text-2</x:v>
      </x:c>
      <x:c r="I477" s="6" t="str">
        <x:v>browsergym/miniwob.enter-text-2</x:v>
      </x:c>
      <x:c r="J477" s="6" t="str">
        <x:v>cf-enter-text-2-seed1037-hard_wrong_target</x:v>
      </x:c>
      <x:c r="K477" s="6" t="str">
        <x:v>0</x:v>
      </x:c>
      <x:c r="L477" s="20" t="str">
        <x:v>Type "EMILE" in all lower case letters in the text input and press Submit.</x:v>
      </x:c>
      <x:c r="M477" s="20" t="str">
        <x:v>click("15", "left")</x:v>
      </x:c>
      <x:c r="N477" s="6" t="str">
        <x:v>0.0</x:v>
      </x:c>
      <x:c r="O477" s="20" t="str">
        <x:v>file:///root/autodl-tmp/miniwob-plusplus/miniwob/html/miniwob/enter-text-2.html</x:v>
      </x:c>
      <x:c r="P477" s="20" t="str">
        <x:v>Enter Text Task</x:v>
      </x:c>
      <x:c r="Q477" s="20" t="str">
        <x:v>RootWebArea 'Enter Text Task', focused [14] textbox '', clickable [15] button 'Submit', clickable</x:v>
      </x:c>
      <x:c r="R477" s="20" t="str">
        <x:v>file:///root/autodl-tmp/miniwob-plusplus/miniwob/html/miniwob/enter-text-2.html</x:v>
      </x:c>
      <x:c r="S477" s="20" t="str">
        <x:v>Enter Text Task</x:v>
      </x:c>
      <x:c r="T477" s="20" t="str">
        <x:v>RootWebArea 'Enter Text Task', focused [14] textbox '', clickable [15] button 'Submit', clickable, focused</x:v>
      </x:c>
      <x:c r="U477" s="6" t="str">
        <x:v>0</x:v>
      </x:c>
      <x:c r="V477" s="6" t="str">
        <x:v>0</x:v>
      </x:c>
      <x:c r="W477" s="6" t="str">
        <x:v>0</x:v>
      </x:c>
      <x:c r="X477" s="6" t="str">
        <x:v>1</x:v>
      </x:c>
      <x:c r="Y477" s="6" t="str">
        <x:v>0</x:v>
      </x:c>
      <x:c r="Z477" s="6" t="str">
        <x:v>1</x:v>
      </x:c>
      <x:c r="AA477" s="6" t="str">
        <x:v>0.0</x:v>
      </x:c>
      <x:c r="AB477" s="20" t="str">
        <x:v>Codex证据复核v1：原始记录唯一匹配、环境实测、反事实配对ID完整、终止且非成功、奖励非正、队列标签与结果派生规则一致；非人工签字。</x:v>
      </x:c>
    </x:row>
    <x:row r="478" ht="46" customHeight="1">
      <x:c r="A478" s="6" t="str">
        <x:v>1</x:v>
      </x:c>
      <x:c r="B478" s="6" t="str">
        <x:v>0cef079f269c04390e21</x:v>
      </x:c>
      <x:c r="C478" s="6" t="str">
        <x:v>evidence_approved</x:v>
      </x:c>
      <x:c r="D478" s="6" t="str">
        <x:v>codex-evidence-review-v1</x:v>
      </x:c>
      <x:c r="E478" s="22" t="n">
        <x:v>46244.40206471065</x:v>
      </x:c>
      <x:c r="F478" s="6" t="str">
        <x:v>20</x:v>
      </x:c>
      <x:c r="G478" s="20" t="str">
        <x:v>observed_counterfactual;severe_failure;terminal</x:v>
      </x:c>
      <x:c r="H478" s="20" t="str">
        <x:v>browsergym/miniwob.click-widget</x:v>
      </x:c>
      <x:c r="I478" s="6" t="str">
        <x:v>browsergym/miniwob.click-widget</x:v>
      </x:c>
      <x:c r="J478" s="6" t="str">
        <x:v>cf-click-widget-seed1016-missing_target</x:v>
      </x:c>
      <x:c r="K478" s="6" t="str">
        <x:v>0</x:v>
      </x:c>
      <x:c r="L478" s="20" t="str">
        <x:v>Click on a "textarea" widget.</x:v>
      </x:c>
      <x:c r="M478" s="20" t="str">
        <x:v>click("15", "left")</x:v>
      </x:c>
      <x:c r="N478" s="6" t="str">
        <x:v>0.0</x:v>
      </x:c>
      <x:c r="O478" s="20" t="str">
        <x:v>file:///root/autodl-tmp/miniwob-plusplus/miniwob/html/miniwob/click-widget.html</x:v>
      </x:c>
      <x:c r="P478" s="20" t="str">
        <x:v>Click Widget Task</x:v>
      </x:c>
      <x:c r="Q478" s="20" t="str">
        <x:v>RootWebArea 'Click Widget Task', focused [14] LabelText '', clickable [15] checkbox 'v94', clickable, checked='false' StaticText 'v94' [17] LabelText '', clickable [18] checkbox 'OAyQ', clickable, checked='false' StaticText 'OAyQ' [20] textbox '' value='2dour', clickable StaticText '2dour' [22] textbox '' value='r' StaticText 'r' [24] textbox '' value='gd' StaticText 'gd'</x:v>
      </x:c>
      <x:c r="R478" s="20" t="str">
        <x:v>file:///root/autodl-tmp/miniwob-plusplus/miniwob/html/miniwob/click-widget.html</x:v>
      </x:c>
      <x:c r="S478" s="20" t="str">
        <x:v>Click Widget Task</x:v>
      </x:c>
      <x:c r="T478" s="20" t="str">
        <x:v>RootWebArea 'Click Widget Task', focused [14] LabelText '', clickable [15] checkbox 'v94', clickable, focused, checked='true' StaticText 'v94' [17] LabelText '', clickable [18] checkbox 'OAyQ', clickable, checked='false' StaticText 'OAyQ' [20] textbox '' value='2dour', clickable StaticText '2dour' [22] textbox '' value='r' StaticText 'r' [24] textbox '' value='gd' StaticText 'gd'</x:v>
      </x:c>
      <x:c r="U478" s="6" t="str">
        <x:v>0</x:v>
      </x:c>
      <x:c r="V478" s="6" t="str">
        <x:v>0</x:v>
      </x:c>
      <x:c r="W478" s="6" t="str">
        <x:v>0</x:v>
      </x:c>
      <x:c r="X478" s="6" t="str">
        <x:v>1</x:v>
      </x:c>
      <x:c r="Y478" s="6" t="str">
        <x:v>0</x:v>
      </x:c>
      <x:c r="Z478" s="6" t="str">
        <x:v>1</x:v>
      </x:c>
      <x:c r="AA478" s="6" t="str">
        <x:v>0.0</x:v>
      </x:c>
      <x:c r="AB478" s="20" t="str">
        <x:v>Codex证据复核v1：原始记录唯一匹配、环境实测、反事实配对ID完整、终止且非成功、奖励非正、队列标签与结果派生规则一致；非人工签字。</x:v>
      </x:c>
    </x:row>
    <x:row r="479" ht="46" customHeight="1">
      <x:c r="A479" s="6" t="str">
        <x:v>1</x:v>
      </x:c>
      <x:c r="B479" s="6" t="str">
        <x:v>04e1326ecb669e875a9b</x:v>
      </x:c>
      <x:c r="C479" s="6" t="str">
        <x:v>evidence_approved</x:v>
      </x:c>
      <x:c r="D479" s="6" t="str">
        <x:v>codex-evidence-review-v1</x:v>
      </x:c>
      <x:c r="E479" s="22" t="n">
        <x:v>46244.40206471065</x:v>
      </x:c>
      <x:c r="F479" s="6" t="str">
        <x:v>20</x:v>
      </x:c>
      <x:c r="G479" s="20" t="str">
        <x:v>observed_counterfactual;severe_failure;terminal</x:v>
      </x:c>
      <x:c r="H479" s="20" t="str">
        <x:v>browsergym/miniwob.click-button</x:v>
      </x:c>
      <x:c r="I479" s="6" t="str">
        <x:v>browsergym/miniwob.click-button</x:v>
      </x:c>
      <x:c r="J479" s="6" t="str">
        <x:v>cf-click-button-seed1038-hard_wrong_target</x:v>
      </x:c>
      <x:c r="K479" s="6" t="str">
        <x:v>0</x:v>
      </x:c>
      <x:c r="L479" s="20" t="str">
        <x:v>Click on the "yes" button.</x:v>
      </x:c>
      <x:c r="M479" s="20" t="str">
        <x:v>click("14", "left")</x:v>
      </x:c>
      <x:c r="N479" s="6" t="str">
        <x:v>0.0</x:v>
      </x:c>
      <x:c r="O479" s="20" t="str">
        <x:v>file:///root/autodl-tmp/miniwob-plusplus/miniwob/html/miniwob/click-button.html</x:v>
      </x:c>
      <x:c r="P479" s="20" t="str">
        <x:v>Click Button Task</x:v>
      </x:c>
      <x:c r="Q479" s="20" t="str">
        <x:v>RootWebArea 'Click Button Task', focused [12] button 'yes', clickable StaticText 'non ipsum mus' [14] button 'okay', clickable [15] textbox '', clickable StaticText 'cursus aenean nullam' StaticText 'ullamcorper non vestibulum'</x:v>
      </x:c>
      <x:c r="R479" s="20" t="str">
        <x:v>file:///root/autodl-tmp/miniwob-plusplus/miniwob/html/miniwob/click-button.html</x:v>
      </x:c>
      <x:c r="S479" s="20" t="str">
        <x:v>Click Button Task</x:v>
      </x:c>
      <x:c r="T479" s="20" t="str">
        <x:v>RootWebArea 'Click Button Task', focused [12] button 'yes', clickable StaticText 'non ipsum mus' [14] button 'okay', clickable, focused [15] textbox '', clickable StaticText 'cursus aenean nullam' StaticText 'ullamcorper non vestibulum'</x:v>
      </x:c>
      <x:c r="U479" s="6" t="str">
        <x:v>0</x:v>
      </x:c>
      <x:c r="V479" s="6" t="str">
        <x:v>0</x:v>
      </x:c>
      <x:c r="W479" s="6" t="str">
        <x:v>0</x:v>
      </x:c>
      <x:c r="X479" s="6" t="str">
        <x:v>1</x:v>
      </x:c>
      <x:c r="Y479" s="6" t="str">
        <x:v>0</x:v>
      </x:c>
      <x:c r="Z479" s="6" t="str">
        <x:v>1</x:v>
      </x:c>
      <x:c r="AA479" s="6" t="str">
        <x:v>0.0</x:v>
      </x:c>
      <x:c r="AB479" s="20" t="str">
        <x:v>Codex证据复核v1：原始记录唯一匹配、环境实测、反事实配对ID完整、终止且非成功、奖励非正、队列标签与结果派生规则一致；非人工签字。</x:v>
      </x:c>
    </x:row>
    <x:row r="480" ht="46" customHeight="1">
      <x:c r="A480" s="6" t="str">
        <x:v>1</x:v>
      </x:c>
      <x:c r="B480" s="6" t="str">
        <x:v>6f15483b0b39bf768e96</x:v>
      </x:c>
      <x:c r="C480" s="6" t="str">
        <x:v>evidence_approved</x:v>
      </x:c>
      <x:c r="D480" s="6" t="str">
        <x:v>codex-evidence-review-v1</x:v>
      </x:c>
      <x:c r="E480" s="22" t="n">
        <x:v>46244.40206471065</x:v>
      </x:c>
      <x:c r="F480" s="6" t="str">
        <x:v>20</x:v>
      </x:c>
      <x:c r="G480" s="20" t="str">
        <x:v>observed_counterfactual;severe_failure;terminal</x:v>
      </x:c>
      <x:c r="H480" s="20" t="str">
        <x:v>browsergym/miniwob.choose-list</x:v>
      </x:c>
      <x:c r="I480" s="6" t="str">
        <x:v>browsergym/miniwob.choose-list</x:v>
      </x:c>
      <x:c r="J480" s="6" t="str">
        <x:v>cf-choose-list-seed1005-wrong_action_type</x:v>
      </x:c>
      <x:c r="K480" s="6" t="str">
        <x:v>0</x:v>
      </x:c>
      <x:c r="L480" s="20" t="str">
        <x:v>Select Benin from the list and click Submit.</x:v>
      </x:c>
      <x:c r="M480" s="20" t="str">
        <x:v>click("23", "left")</x:v>
      </x:c>
      <x:c r="N480" s="6" t="str">
        <x:v>0.0</x:v>
      </x:c>
      <x:c r="O480" s="20" t="str">
        <x:v>file:///root/autodl-tmp/miniwob-plusplus/miniwob/html/miniwob/choose-list.html</x:v>
      </x:c>
      <x:c r="P480" s="20" t="str">
        <x:v>Choose List Task</x:v>
      </x:c>
      <x:c r="Q480" s="20" t="str">
        <x:v>RootWebArea 'Choose List Task', focused [13] combobox '' value='Brunei Darussalam', hasPopup='menu', expanded=False [23] button 'Submit', clickable</x:v>
      </x:c>
      <x:c r="R480" s="20" t="str">
        <x:v>file:///root/autodl-tmp/miniwob-plusplus/miniwob/html/miniwob/choose-list.html</x:v>
      </x:c>
      <x:c r="S480" s="20" t="str">
        <x:v>Choose List Task</x:v>
      </x:c>
      <x:c r="T480" s="20" t="str">
        <x:v>RootWebArea 'Choose List Task', focused [13] combobox '' value='Brunei Darussalam', hasPopup='menu', expanded=False [23] button 'Submit', clickable, focused</x:v>
      </x:c>
      <x:c r="U480" s="6" t="str">
        <x:v>0</x:v>
      </x:c>
      <x:c r="V480" s="6" t="str">
        <x:v>0</x:v>
      </x:c>
      <x:c r="W480" s="6" t="str">
        <x:v>0</x:v>
      </x:c>
      <x:c r="X480" s="6" t="str">
        <x:v>1</x:v>
      </x:c>
      <x:c r="Y480" s="6" t="str">
        <x:v>0</x:v>
      </x:c>
      <x:c r="Z480" s="6" t="str">
        <x:v>1</x:v>
      </x:c>
      <x:c r="AA480" s="6" t="str">
        <x:v>0.0</x:v>
      </x:c>
      <x:c r="AB480" s="20" t="str">
        <x:v>Codex证据复核v1：原始记录唯一匹配、环境实测、反事实配对ID完整、终止且非成功、奖励非正、队列标签与结果派生规则一致；非人工签字。</x:v>
      </x:c>
    </x:row>
    <x:row r="481" ht="46" customHeight="1">
      <x:c r="A481" s="6" t="str">
        <x:v>1</x:v>
      </x:c>
      <x:c r="B481" s="6" t="str">
        <x:v>ec986ae84da45508e18f</x:v>
      </x:c>
      <x:c r="C481" s="6" t="str">
        <x:v>evidence_approved</x:v>
      </x:c>
      <x:c r="D481" s="6" t="str">
        <x:v>codex-evidence-review-v1</x:v>
      </x:c>
      <x:c r="E481" s="22" t="n">
        <x:v>46244.40206471065</x:v>
      </x:c>
      <x:c r="F481" s="6" t="str">
        <x:v>20</x:v>
      </x:c>
      <x:c r="G481" s="20" t="str">
        <x:v>observed_counterfactual;severe_failure;terminal</x:v>
      </x:c>
      <x:c r="H481" s="20" t="str">
        <x:v>browsergym/miniwob.click-widget</x:v>
      </x:c>
      <x:c r="I481" s="6" t="str">
        <x:v>browsergym/miniwob.click-widget</x:v>
      </x:c>
      <x:c r="J481" s="6" t="str">
        <x:v>cf-click-widget-seed1011-wrong_action_type</x:v>
      </x:c>
      <x:c r="K481" s="6" t="str">
        <x:v>0</x:v>
      </x:c>
      <x:c r="L481" s="20" t="str">
        <x:v>Click on a "checkbox" widget.</x:v>
      </x:c>
      <x:c r="M481" s="20" t="str">
        <x:v>click("21", "left")</x:v>
      </x:c>
      <x:c r="N481" s="6" t="str">
        <x:v>0.0</x:v>
      </x:c>
      <x:c r="O481" s="20" t="str">
        <x:v>file:///root/autodl-tmp/miniwob-plusplus/miniwob/html/miniwob/click-widget.html</x:v>
      </x:c>
      <x:c r="P481" s="20" t="str">
        <x:v>Click Widget Task</x:v>
      </x:c>
      <x:c r="Q481" s="20" t="str">
        <x:v>RootWebArea 'Click Widget Task', focused [14] LabelText '', clickable [15] radio 'mXkaW', clickable, checked='false' StaticText 'mXkaW' [17] textbox '' value='zzO' StaticText 'zzO' [19] textbox '' value='U' StaticText 'U' [21] button 'GK' [23] LabelText '', clickable [24] checkbox 'b1', clickable, checked='false' StaticText 'b1'</x:v>
      </x:c>
      <x:c r="R481" s="20" t="str">
        <x:v>file:///root/autodl-tmp/miniwob-plusplus/miniwob/html/miniwob/click-widget.html</x:v>
      </x:c>
      <x:c r="S481" s="20" t="str">
        <x:v>Click Widget Task</x:v>
      </x:c>
      <x:c r="T481" s="20" t="str">
        <x:v>RootWebArea 'Click Widget Task', focused [14] LabelText '', clickable [15] radio 'mXkaW', clickable, checked='false' StaticText 'mXkaW' [17] textbox '' value='zzO' StaticText 'zzO' [19] textbox '' value='U' StaticText 'U' [21] button 'GK', focused [23] LabelText '', clickable [24] checkbox 'b1', clickable, checked='false' StaticText 'b1'</x:v>
      </x:c>
      <x:c r="U481" s="6" t="str">
        <x:v>0</x:v>
      </x:c>
      <x:c r="V481" s="6" t="str">
        <x:v>0</x:v>
      </x:c>
      <x:c r="W481" s="6" t="str">
        <x:v>0</x:v>
      </x:c>
      <x:c r="X481" s="6" t="str">
        <x:v>1</x:v>
      </x:c>
      <x:c r="Y481" s="6" t="str">
        <x:v>0</x:v>
      </x:c>
      <x:c r="Z481" s="6" t="str">
        <x:v>1</x:v>
      </x:c>
      <x:c r="AA481" s="6" t="str">
        <x:v>0.0</x:v>
      </x:c>
      <x:c r="AB481" s="20" t="str">
        <x:v>Codex证据复核v1：原始记录唯一匹配、环境实测、反事实配对ID完整、终止且非成功、奖励非正、队列标签与结果派生规则一致；非人工签字。</x:v>
      </x:c>
    </x:row>
    <x:row r="482" ht="46" customHeight="1">
      <x:c r="A482" s="6" t="str">
        <x:v>1</x:v>
      </x:c>
      <x:c r="B482" s="6" t="str">
        <x:v>3b2002e62a15e19ec801</x:v>
      </x:c>
      <x:c r="C482" s="6" t="str">
        <x:v>evidence_approved</x:v>
      </x:c>
      <x:c r="D482" s="6" t="str">
        <x:v>codex-evidence-review-v1</x:v>
      </x:c>
      <x:c r="E482" s="22" t="n">
        <x:v>46244.40206471065</x:v>
      </x:c>
      <x:c r="F482" s="6" t="str">
        <x:v>20</x:v>
      </x:c>
      <x:c r="G482" s="20" t="str">
        <x:v>observed_counterfactual;severe_failure;terminal</x:v>
      </x:c>
      <x:c r="H482" s="20" t="str">
        <x:v>browsergym/miniwob.scroll-text-2</x:v>
      </x:c>
      <x:c r="I482" s="6" t="str">
        <x:v>browsergym/miniwob.scroll-text-2</x:v>
      </x:c>
      <x:c r="J482" s="6" t="str">
        <x:v>cf-scroll-text-2-seed1039-hard_wrong_target</x:v>
      </x:c>
      <x:c r="K482" s="6" t="str">
        <x:v>0</x:v>
      </x:c>
      <x:c r="L482" s="20" t="str">
        <x:v>Scroll the textarea to the top of the text hit submit.</x:v>
      </x:c>
      <x:c r="M482" s="20" t="str">
        <x:v>click("14", "left")</x:v>
      </x:c>
      <x:c r="N482" s="6" t="str">
        <x:v>0.0</x:v>
      </x:c>
      <x:c r="O482" s="20" t="str">
        <x:v>file:///root/autodl-tmp/miniwob-plusplus/miniwob/html/miniwob/scroll-text-2.html</x:v>
      </x:c>
      <x:c r="P482" s="20" t="str">
        <x:v>Scroll Text Task</x:v>
      </x:c>
      <x:c r="Q482" s="20" t="str">
        <x:v>RootWebArea 'Scroll Text Task', focused [13] textbox '' value='Consectetur. Potenti ipsum nunc. Volutpat adipiscing ut varius sed facilisis morbi amet mauris, sed pulvinar penatibus. Quisque. Adipiscing sapien egestas bibendum luctus. Erat volutpat sapien. Imperdiet orci in volutpat, leo, dignissim non euismod porttitor lectus tempus lacus facilisis. Vestibulum, potenti enim, iaculis dolor quis ac dolor,. Non felis. Mauris amet sed. Sed sed dolor, hendrerit condimentum. Gravida vitae urna, commodo cursus. Et, enim, vulputate commodo erat vel et, proin sapien scelerisque euismod tempor mollis at dui odio mi phasellus. Sed. Quis. E… StaticText 'Consectetur. Potenti ipsum nunc. Volutpat adipiscing ut varius sed facilisis morbi amet mauris, sed pulvinar penatibus. Quisque. Adipiscing sapien egestas bibendum luctus. Erat volutpat sapien. Imperdiet orci in volutpat, leo, dignissim non euismod…</x:v>
      </x:c>
      <x:c r="R482" s="20" t="str">
        <x:v>file:///root/autodl-tmp/miniwob-plusplus/miniwob/html/miniwob/scroll-text-2.html</x:v>
      </x:c>
      <x:c r="S482" s="20" t="str">
        <x:v>Scroll Text Task</x:v>
      </x:c>
      <x:c r="T482" s="20" t="str">
        <x:v>RootWebArea 'Scroll Text Task', focused [13] textbox '' value='Consectetur. Potenti ipsum nunc. Volutpat adipiscing ut varius sed facilisis morbi amet mauris, sed pulvinar penatibus. Quisque. Adipiscing sapien egestas bibendum luctus. Erat volutpat sapien. Imperdiet orci in volutpat, leo, dignissim non euismod porttitor lectus tempus lacus facilisis. Vestibulum, potenti enim, iaculis dolor quis ac dolor,. Non felis. Mauris amet sed. Sed sed dolor, hendrerit condimentum. Gravida vitae urna, commodo cursus. Et, enim, vulputate commodo erat vel et, proin sapien scelerisque euismod tempor mollis at dui odio mi phasellus. Sed. Quis. E… StaticText 'Consectetur. Potenti ipsum nunc. Volutpat adipiscing ut varius sed facilisis morbi amet mauris, sed pulvinar penatibus. Quisque. Adipiscing sapien egestas bibendum luctus. Erat volutpat sapien. Imperdiet orci in volutpat, leo, dignissim non euismod…</x:v>
      </x:c>
      <x:c r="U482" s="6" t="str">
        <x:v>0</x:v>
      </x:c>
      <x:c r="V482" s="6" t="str">
        <x:v>0</x:v>
      </x:c>
      <x:c r="W482" s="6" t="str">
        <x:v>0</x:v>
      </x:c>
      <x:c r="X482" s="6" t="str">
        <x:v>1</x:v>
      </x:c>
      <x:c r="Y482" s="6" t="str">
        <x:v>0</x:v>
      </x:c>
      <x:c r="Z482" s="6" t="str">
        <x:v>1</x:v>
      </x:c>
      <x:c r="AA482" s="6" t="str">
        <x:v>0.0</x:v>
      </x:c>
      <x:c r="AB482" s="20" t="str">
        <x:v>Codex证据复核v1：原始记录唯一匹配、环境实测、反事实配对ID完整、终止且非成功、奖励非正、队列标签与结果派生规则一致；非人工签字。</x:v>
      </x:c>
    </x:row>
    <x:row r="483" ht="46" customHeight="1">
      <x:c r="A483" s="6" t="str">
        <x:v>1</x:v>
      </x:c>
      <x:c r="B483" s="6" t="str">
        <x:v>a856bb68badd11c7de10</x:v>
      </x:c>
      <x:c r="C483" s="6" t="str">
        <x:v>evidence_approved</x:v>
      </x:c>
      <x:c r="D483" s="6" t="str">
        <x:v>codex-evidence-review-v1</x:v>
      </x:c>
      <x:c r="E483" s="22" t="n">
        <x:v>46244.40206471065</x:v>
      </x:c>
      <x:c r="F483" s="6" t="str">
        <x:v>20</x:v>
      </x:c>
      <x:c r="G483" s="20" t="str">
        <x:v>observed_counterfactual;severe_failure;terminal</x:v>
      </x:c>
      <x:c r="H483" s="20" t="str">
        <x:v>browsergym/miniwob.sign-agreement</x:v>
      </x:c>
      <x:c r="I483" s="6" t="str">
        <x:v>browsergym/miniwob.sign-agreement</x:v>
      </x:c>
      <x:c r="J483" s="6" t="str">
        <x:v>cf-sign-agreement-seed1021-hard_wrong_target</x:v>
      </x:c>
      <x:c r="K483" s="6" t="str">
        <x:v>0</x:v>
      </x:c>
      <x:c r="L483" s="20" t="str">
        <x:v>Scroll to the bottom of the textarea, enter the name "Annis" then press "Cancel"</x:v>
      </x:c>
      <x:c r="M483" s="20" t="str">
        <x:v>click("17", "left")</x:v>
      </x:c>
      <x:c r="N483" s="6" t="str">
        <x:v>0.0</x:v>
      </x:c>
      <x:c r="O483" s="20" t="str">
        <x:v>file:///root/autodl-tmp/miniwob-plusplus/miniwob/html/miniwob/sign-agreement.html</x:v>
      </x:c>
      <x:c r="P483" s="20" t="str">
        <x:v>Sign Agreement Task</x:v>
      </x:c>
      <x:c r="Q483" s="20" t="str">
        <x:v>RootWebArea 'Sign Agreement Task', focused [14] heading 'User agreement' [15] textbox '' value='Dolor mattis lorem molestie malesuada pulvinar nec sagittis volutpat bibendum fermentum euismod scelerisque. Aliquet. Aenean. In sed erat parturient libero. Egestas consectetur. Tincidunt etiam sit. Eget proin volutpat. Auctor. Quis et, elementum. Praesent in interdum tempus, amet. Accumsan commodo, adipiscing ultrices amet vulputate facilisi nibh duis mattis metus, scelerisque viverra ultrices est in at odio. Mi phasellus praesent viverra at malesuada non. Ullamcorper eget in. Mollis. Suscipit odio eget at tortor phasellus hac arcu montes, eget. Tortor ut pellentesqu… StaticText 'Dolor mattis lorem molestie malesuada pulvinar nec sagittis volutpat bibendum fermentum euismod scelerisque. Aliquet. Aenean. In sed erat parturient libero. Egestas consectetur. Tincidunt etiam sit. Eget proin volut…</x:v>
      </x:c>
      <x:c r="R483" s="20" t="str">
        <x:v>file:///root/autodl-tmp/miniwob-plusplus/miniwob/html/miniwob/sign-agreement.html</x:v>
      </x:c>
      <x:c r="S483" s="20" t="str">
        <x:v>Sign Agreement Task</x:v>
      </x:c>
      <x:c r="T483" s="20" t="str">
        <x:v>RootWebArea 'Sign Agreement Task', focused [14] heading 'User agreement' [15] textbox '' value='Dolor mattis lorem molestie malesuada pulvinar nec sagittis volutpat bibendum fermentum euismod scelerisque. Aliquet. Aenean. In sed erat parturient libero. Egestas consectetur. Tincidunt etiam sit. Eget proin volutpat. Auctor. Quis et, elementum. Praesent in interdum tempus, amet. Accumsan commodo, adipiscing ultrices amet vulputate facilisi nibh duis mattis metus, scelerisque viverra ultrices est in at odio. Mi phasellus praesent viverra at malesuada non. Ullamcorper eget in. Mollis. Suscipit odio eget at tortor phasellus hac arcu montes, eget. Tortor ut pellentesqu… StaticText 'Dolor mattis lorem molestie malesuada pulvinar nec sagittis volutpat bibendum fermentum euismod scelerisque. Aliquet. Aenean. In sed erat parturient libero. Egestas consectetur. Tincidunt etiam sit. Eget proin volut…</x:v>
      </x:c>
      <x:c r="U483" s="6" t="str">
        <x:v>0</x:v>
      </x:c>
      <x:c r="V483" s="6" t="str">
        <x:v>0</x:v>
      </x:c>
      <x:c r="W483" s="6" t="str">
        <x:v>0</x:v>
      </x:c>
      <x:c r="X483" s="6" t="str">
        <x:v>1</x:v>
      </x:c>
      <x:c r="Y483" s="6" t="str">
        <x:v>0</x:v>
      </x:c>
      <x:c r="Z483" s="6" t="str">
        <x:v>1</x:v>
      </x:c>
      <x:c r="AA483" s="6" t="str">
        <x:v>0.0</x:v>
      </x:c>
      <x:c r="AB483" s="20" t="str">
        <x:v>Codex证据复核v1：原始记录唯一匹配、环境实测、反事实配对ID完整、终止且非成功、奖励非正、队列标签与结果派生规则一致；非人工签字。</x:v>
      </x:c>
    </x:row>
    <x:row r="484" ht="46" customHeight="1">
      <x:c r="A484" s="6" t="str">
        <x:v>1</x:v>
      </x:c>
      <x:c r="B484" s="6" t="str">
        <x:v>e59fffd90ee2d2bb1c36</x:v>
      </x:c>
      <x:c r="C484" s="6" t="str">
        <x:v>evidence_approved</x:v>
      </x:c>
      <x:c r="D484" s="6" t="str">
        <x:v>codex-evidence-review-v1</x:v>
      </x:c>
      <x:c r="E484" s="22" t="n">
        <x:v>46244.40206471065</x:v>
      </x:c>
      <x:c r="F484" s="6" t="str">
        <x:v>20</x:v>
      </x:c>
      <x:c r="G484" s="20" t="str">
        <x:v>observed_counterfactual;severe_failure;terminal</x:v>
      </x:c>
      <x:c r="H484" s="20" t="str">
        <x:v>browsergym/miniwob.click-collapsible</x:v>
      </x:c>
      <x:c r="I484" s="6" t="str">
        <x:v>browsergym/miniwob.click-collapsible</x:v>
      </x:c>
      <x:c r="J484" s="6" t="str">
        <x:v>cf-click-collapsible-seed1036-hard_wrong_target</x:v>
      </x:c>
      <x:c r="K484" s="6" t="str">
        <x:v>0</x:v>
      </x:c>
      <x:c r="L484" s="20" t="str">
        <x:v>Expand the section below and click submit.</x:v>
      </x:c>
      <x:c r="M484" s="20" t="str">
        <x:v>click("19", "left")</x:v>
      </x:c>
      <x:c r="N484" s="6" t="str">
        <x:v>0.0</x:v>
      </x:c>
      <x:c r="O484" s="20" t="str">
        <x:v>file:///root/autodl-tmp/miniwob-plusplus/miniwob/html/miniwob/click-collapsible.html</x:v>
      </x:c>
      <x:c r="P484" s="20" t="str">
        <x:v>Click Collapsible Task</x:v>
      </x:c>
      <x:c r="Q484" s="20" t="str">
        <x:v>RootWebArea 'Click Collapsible Task', focused [15] tablist '', multiselectable=False, orientation='horizontal' [16] tab 'Section #21', clickable, expanded=False, selected=False, controls='ui-id-2' [19] tab 'Submit', clickable, expanded=False, selected=False [22] button 'Submit', clickable</x:v>
      </x:c>
      <x:c r="R484" s="20" t="str">
        <x:v>file:///root/autodl-tmp/miniwob-plusplus/miniwob/html/miniwob/click-collapsible.html</x:v>
      </x:c>
      <x:c r="S484" s="20" t="str">
        <x:v>Click Collapsible Task</x:v>
      </x:c>
      <x:c r="T484" s="20" t="str">
        <x:v>RootWebArea 'Click Collapsible Task', focused [15] tablist '', multiselectable=False, orientation='horizontal' [16] tab 'Section #21', clickable, expanded=False, selected=False, controls='ui-id-2' [19] tab 'Submit', clickable, expanded=False, selected=False [22] button 'Submit', clickable, focused</x:v>
      </x:c>
      <x:c r="U484" s="6" t="str">
        <x:v>0</x:v>
      </x:c>
      <x:c r="V484" s="6" t="str">
        <x:v>0</x:v>
      </x:c>
      <x:c r="W484" s="6" t="str">
        <x:v>0</x:v>
      </x:c>
      <x:c r="X484" s="6" t="str">
        <x:v>1</x:v>
      </x:c>
      <x:c r="Y484" s="6" t="str">
        <x:v>0</x:v>
      </x:c>
      <x:c r="Z484" s="6" t="str">
        <x:v>1</x:v>
      </x:c>
      <x:c r="AA484" s="6" t="str">
        <x:v>0.0</x:v>
      </x:c>
      <x:c r="AB484" s="20" t="str">
        <x:v>Codex证据复核v1：原始记录唯一匹配、环境实测、反事实配对ID完整、终止且非成功、奖励非正、队列标签与结果派生规则一致；非人工签字。</x:v>
      </x:c>
    </x:row>
    <x:row r="485" ht="46" customHeight="1">
      <x:c r="A485" s="6" t="str">
        <x:v>1</x:v>
      </x:c>
      <x:c r="B485" s="6" t="str">
        <x:v>4c1c58c9f3050791b12d</x:v>
      </x:c>
      <x:c r="C485" s="6" t="str">
        <x:v>evidence_approved</x:v>
      </x:c>
      <x:c r="D485" s="6" t="str">
        <x:v>codex-evidence-review-v1</x:v>
      </x:c>
      <x:c r="E485" s="22" t="n">
        <x:v>46244.40206471065</x:v>
      </x:c>
      <x:c r="F485" s="6" t="str">
        <x:v>20</x:v>
      </x:c>
      <x:c r="G485" s="20" t="str">
        <x:v>observed_counterfactual;severe_failure;terminal</x:v>
      </x:c>
      <x:c r="H485" s="20" t="str">
        <x:v>browsergym/miniwob.click-checkboxes-soft</x:v>
      </x:c>
      <x:c r="I485" s="6" t="str">
        <x:v>browsergym/miniwob.click-checkboxes-soft</x:v>
      </x:c>
      <x:c r="J485" s="6" t="str">
        <x:v>cf-click-checkboxes-soft-seed1017-hard_wrong_target</x:v>
      </x:c>
      <x:c r="K485" s="6" t="str">
        <x:v>0</x:v>
      </x:c>
      <x:c r="L485" s="20" t="str">
        <x:v>Select words similar to sustain, savory, slice, swine and click Submit.</x:v>
      </x:c>
      <x:c r="M485" s="20" t="str">
        <x:v>click("36", "left")</x:v>
      </x:c>
      <x:c r="N485" s="6" t="str">
        <x:v>0.0</x:v>
      </x:c>
      <x:c r="O485" s="20" t="str">
        <x:v>file:///root/autodl-tmp/miniwob-plusplus/miniwob/html/miniwob/click-checkboxes-soft.html</x:v>
      </x:c>
      <x:c r="P485" s="20" t="str">
        <x:v>Click Checkboxes Task</x:v>
      </x:c>
      <x:c r="Q485" s="20" t="str">
        <x:v>RootWebArea 'Click Checkboxes Task', focused [17] LabelText '', clickable [18] checkbox 'hide', clickable, checked='false' StaticText 'hide' [20] LabelText '', clickable [21] checkbox 'delicious', clickable, checked='false' StaticText 'delicious' [23] LabelText '', clickable [24] checkbox 'funny', clickable, checked='false' StaticText 'funny' [26] LabelText '', clickable [27] checkbox 'pig', clickable, checked='false' StaticText 'pig' [29] LabelText '', clickable [30] checkbox 'chop', clickable, checked='false' StaticText 'chop' [32] LabelText '', clickable [33] checkbox 'preserve', clickable, checked='false' StaticText 'preserve' [36] button 'Submit', clickable</x:v>
      </x:c>
      <x:c r="R485" s="20" t="str">
        <x:v>file:///root/autodl-tmp/miniwob-plusplus/miniwob/html/miniwob/click-checkboxes-soft.html</x:v>
      </x:c>
      <x:c r="S485" s="20" t="str">
        <x:v>Click Checkboxes Task</x:v>
      </x:c>
      <x:c r="T485" s="20" t="str">
        <x:v>RootWebArea 'Click Checkboxes Task', focused [17] LabelText '', clickable [18] checkbox 'hide', clickable, checked='false' StaticText 'hide' [20] LabelText '', clickable [21] checkbox 'delicious', clickable, checked='false' StaticText 'delicious' [23] LabelText '', clickable [24] checkbox 'funny', clickable, checked='false' StaticText 'funny' [26] LabelText '', clickable [27] checkbox 'pig', clickable, checked='false' StaticText 'pig' [29] LabelText '', clickable [30] checkbox 'chop', clickable, checked='false' StaticText 'chop' [32] LabelText '', clickable [33] checkbox 'preserve', clickable, checked='false' StaticText 'preserve' [36] button 'Submit', clickable, focused</x:v>
      </x:c>
      <x:c r="U485" s="6" t="str">
        <x:v>0</x:v>
      </x:c>
      <x:c r="V485" s="6" t="str">
        <x:v>0</x:v>
      </x:c>
      <x:c r="W485" s="6" t="str">
        <x:v>0</x:v>
      </x:c>
      <x:c r="X485" s="6" t="str">
        <x:v>1</x:v>
      </x:c>
      <x:c r="Y485" s="6" t="str">
        <x:v>0</x:v>
      </x:c>
      <x:c r="Z485" s="6" t="str">
        <x:v>1</x:v>
      </x:c>
      <x:c r="AA485" s="6" t="str">
        <x:v>0.0</x:v>
      </x:c>
      <x:c r="AB485" s="20" t="str">
        <x:v>Codex证据复核v1：原始记录唯一匹配、环境实测、反事实配对ID完整、终止且非成功、奖励非正、队列标签与结果派生规则一致；非人工签字。</x:v>
      </x:c>
    </x:row>
    <x:row r="486" ht="46" customHeight="1">
      <x:c r="A486" s="6" t="str">
        <x:v>1</x:v>
      </x:c>
      <x:c r="B486" s="6" t="str">
        <x:v>c896ee410244d1897e1a</x:v>
      </x:c>
      <x:c r="C486" s="6" t="str">
        <x:v>evidence_approved</x:v>
      </x:c>
      <x:c r="D486" s="6" t="str">
        <x:v>codex-evidence-review-v1</x:v>
      </x:c>
      <x:c r="E486" s="22" t="n">
        <x:v>46244.40206471065</x:v>
      </x:c>
      <x:c r="F486" s="6" t="str">
        <x:v>20</x:v>
      </x:c>
      <x:c r="G486" s="20" t="str">
        <x:v>observed_counterfactual;severe_failure;terminal</x:v>
      </x:c>
      <x:c r="H486" s="20" t="str">
        <x:v>browsergym/miniwob.click-widget</x:v>
      </x:c>
      <x:c r="I486" s="6" t="str">
        <x:v>browsergym/miniwob.click-widget</x:v>
      </x:c>
      <x:c r="J486" s="6" t="str">
        <x:v>cf-click-widget-seed1020-missing_target</x:v>
      </x:c>
      <x:c r="K486" s="6" t="str">
        <x:v>0</x:v>
      </x:c>
      <x:c r="L486" s="20" t="str">
        <x:v>Click on a "textarea" widget.</x:v>
      </x:c>
      <x:c r="M486" s="20" t="str">
        <x:v>click("21", "left")</x:v>
      </x:c>
      <x:c r="N486" s="6" t="str">
        <x:v>0.0</x:v>
      </x:c>
      <x:c r="O486" s="20" t="str">
        <x:v>file:///root/autodl-tmp/miniwob-plusplus/miniwob/html/miniwob/click-widget.html</x:v>
      </x:c>
      <x:c r="P486" s="20" t="str">
        <x:v>Click Widget Task</x:v>
      </x:c>
      <x:c r="Q486" s="20" t="str">
        <x:v>RootWebArea 'Click Widget Task', focused [14] LabelText '', clickable [15] checkbox 'VG', clickable, checked='false' StaticText 'VG' [17] button 'Qn' [19] textbox '' value='Ar' StaticText 'Ar' [21] button 'Q' [23] textbox '' value='E' StaticText 'E'</x:v>
      </x:c>
      <x:c r="R486" s="20" t="str">
        <x:v>file:///root/autodl-tmp/miniwob-plusplus/miniwob/html/miniwob/click-widget.html</x:v>
      </x:c>
      <x:c r="S486" s="20" t="str">
        <x:v>Click Widget Task</x:v>
      </x:c>
      <x:c r="T486" s="20" t="str">
        <x:v>RootWebArea 'Click Widget Task', focused [14] LabelText '', clickable [15] checkbox 'VG', clickable, checked='false' StaticText 'VG' [17] button 'Qn' [19] textbox '' value='Ar' StaticText 'Ar' [21] button 'Q', focused [23] textbox '' value='E' StaticText 'E'</x:v>
      </x:c>
      <x:c r="U486" s="6" t="str">
        <x:v>0</x:v>
      </x:c>
      <x:c r="V486" s="6" t="str">
        <x:v>0</x:v>
      </x:c>
      <x:c r="W486" s="6" t="str">
        <x:v>0</x:v>
      </x:c>
      <x:c r="X486" s="6" t="str">
        <x:v>1</x:v>
      </x:c>
      <x:c r="Y486" s="6" t="str">
        <x:v>0</x:v>
      </x:c>
      <x:c r="Z486" s="6" t="str">
        <x:v>1</x:v>
      </x:c>
      <x:c r="AA486" s="6" t="str">
        <x:v>0.0</x:v>
      </x:c>
      <x:c r="AB486" s="20" t="str">
        <x:v>Codex证据复核v1：原始记录唯一匹配、环境实测、反事实配对ID完整、终止且非成功、奖励非正、队列标签与结果派生规则一致；非人工签字。</x:v>
      </x:c>
    </x:row>
    <x:row r="487" ht="46" customHeight="1">
      <x:c r="A487" s="6" t="str">
        <x:v>1</x:v>
      </x:c>
      <x:c r="B487" s="6" t="str">
        <x:v>0093eda34149d924348b</x:v>
      </x:c>
      <x:c r="C487" s="6" t="str">
        <x:v>evidence_approved</x:v>
      </x:c>
      <x:c r="D487" s="6" t="str">
        <x:v>codex-evidence-review-v1</x:v>
      </x:c>
      <x:c r="E487" s="22" t="n">
        <x:v>46244.40206471065</x:v>
      </x:c>
      <x:c r="F487" s="6" t="str">
        <x:v>20</x:v>
      </x:c>
      <x:c r="G487" s="20" t="str">
        <x:v>observed_counterfactual;severe_failure;terminal</x:v>
      </x:c>
      <x:c r="H487" s="20" t="str">
        <x:v>browsergym/miniwob.click-collapsible</x:v>
      </x:c>
      <x:c r="I487" s="6" t="str">
        <x:v>browsergym/miniwob.click-collapsible</x:v>
      </x:c>
      <x:c r="J487" s="6" t="str">
        <x:v>cf-click-collapsible-seed1012-hard_wrong_target</x:v>
      </x:c>
      <x:c r="K487" s="6" t="str">
        <x:v>0</x:v>
      </x:c>
      <x:c r="L487" s="20" t="str">
        <x:v>Expand the section below and click submit.</x:v>
      </x:c>
      <x:c r="M487" s="20" t="str">
        <x:v>click("19", "left")</x:v>
      </x:c>
      <x:c r="N487" s="6" t="str">
        <x:v>0.0</x:v>
      </x:c>
      <x:c r="O487" s="20" t="str">
        <x:v>file:///root/autodl-tmp/miniwob-plusplus/miniwob/html/miniwob/click-collapsible.html</x:v>
      </x:c>
      <x:c r="P487" s="20" t="str">
        <x:v>Click Collapsible Task</x:v>
      </x:c>
      <x:c r="Q487" s="20" t="str">
        <x:v>RootWebArea 'Click Collapsible Task', focused [15] tablist '', multiselectable=False, orientation='horizontal' [16] tab 'Section #9', clickable, expanded=False, selected=False, controls='ui-id-2' [19] tab 'Submit', clickable, expanded=False, selected=False [22] button 'Submit', clickable</x:v>
      </x:c>
      <x:c r="R487" s="20" t="str">
        <x:v>file:///root/autodl-tmp/miniwob-plusplus/miniwob/html/miniwob/click-collapsible.html</x:v>
      </x:c>
      <x:c r="S487" s="20" t="str">
        <x:v>Click Collapsible Task</x:v>
      </x:c>
      <x:c r="T487" s="20" t="str">
        <x:v>RootWebArea 'Click Collapsible Task', focused [15] tablist '', multiselectable=False, orientation='horizontal' [16] tab 'Section #9', clickable, expanded=False, selected=False, controls='ui-id-2' [19] tab 'Submit', clickable, expanded=False, selected=False [22] button 'Submit', clickable, focused</x:v>
      </x:c>
      <x:c r="U487" s="6" t="str">
        <x:v>0</x:v>
      </x:c>
      <x:c r="V487" s="6" t="str">
        <x:v>0</x:v>
      </x:c>
      <x:c r="W487" s="6" t="str">
        <x:v>0</x:v>
      </x:c>
      <x:c r="X487" s="6" t="str">
        <x:v>1</x:v>
      </x:c>
      <x:c r="Y487" s="6" t="str">
        <x:v>0</x:v>
      </x:c>
      <x:c r="Z487" s="6" t="str">
        <x:v>1</x:v>
      </x:c>
      <x:c r="AA487" s="6" t="str">
        <x:v>0.0</x:v>
      </x:c>
      <x:c r="AB487" s="20" t="str">
        <x:v>Codex证据复核v1：原始记录唯一匹配、环境实测、反事实配对ID完整、终止且非成功、奖励非正、队列标签与结果派生规则一致；非人工签字。</x:v>
      </x:c>
    </x:row>
    <x:row r="488" ht="46" customHeight="1">
      <x:c r="A488" s="6" t="str">
        <x:v>1</x:v>
      </x:c>
      <x:c r="B488" s="6" t="str">
        <x:v>7b517ddcbe31c8d71a8b</x:v>
      </x:c>
      <x:c r="C488" s="6" t="str">
        <x:v>evidence_approved</x:v>
      </x:c>
      <x:c r="D488" s="6" t="str">
        <x:v>codex-evidence-review-v1</x:v>
      </x:c>
      <x:c r="E488" s="22" t="n">
        <x:v>46244.40206471065</x:v>
      </x:c>
      <x:c r="F488" s="6" t="str">
        <x:v>20</x:v>
      </x:c>
      <x:c r="G488" s="20" t="str">
        <x:v>observed_counterfactual;severe_failure;terminal</x:v>
      </x:c>
      <x:c r="H488" s="20" t="str">
        <x:v>browsergym/miniwob.scroll-text-2</x:v>
      </x:c>
      <x:c r="I488" s="6" t="str">
        <x:v>browsergym/miniwob.scroll-text-2</x:v>
      </x:c>
      <x:c r="J488" s="6" t="str">
        <x:v>cf-scroll-text-2-seed1010-hard_wrong_target</x:v>
      </x:c>
      <x:c r="K488" s="6" t="str">
        <x:v>0</x:v>
      </x:c>
      <x:c r="L488" s="20" t="str">
        <x:v>Scroll the textarea to the top of the text hit submit.</x:v>
      </x:c>
      <x:c r="M488" s="20" t="str">
        <x:v>click("14", "left")</x:v>
      </x:c>
      <x:c r="N488" s="6" t="str">
        <x:v>0.0</x:v>
      </x:c>
      <x:c r="O488" s="20" t="str">
        <x:v>file:///root/autodl-tmp/miniwob-plusplus/miniwob/html/miniwob/scroll-text-2.html</x:v>
      </x:c>
      <x:c r="P488" s="20" t="str">
        <x:v>Scroll Text Task</x:v>
      </x:c>
      <x:c r="Q488" s="20" t="str">
        <x:v>RootWebArea 'Scroll Text Task', focused [13] textbox '' value='Volutpat condimentum. Quis nulla. Sed tincidunt bibendum nisi, bibendum donec quis a, eu varius sit. Eu. Sodales egestas est nibh felis dui diam,. Nulla a suspendisse. Potenti nisl, diam faucibus turpis. Lectus enim etiam ullamcorper amet ac lectus leo dui accumsan. Sodales amet facilisis eget mauris, interdum vitae. Vivamus. Mattis dolor, nullam neque pulvinar et volutpat mattis. Quis nullam venenatis. Odio. Diam. Sit in. Arcu amet mattis felis donec sodales sagittis proin sed. Sed scelerisque est pellentesque. Tristique molestie augue blandit purus suspendisse. Nec … StaticText 'Volutpat condimentum. Quis nulla. Sed tincidunt bibendum nisi, bibendum donec quis a, eu varius sit. Eu. Sodales egestas est nibh felis dui diam,. Nulla a suspendisse. Potenti nisl, diam faucibus turpis. Lectus enim etiam ullamcorper amet ac lectus…</x:v>
      </x:c>
      <x:c r="R488" s="20" t="str">
        <x:v>file:///root/autodl-tmp/miniwob-plusplus/miniwob/html/miniwob/scroll-text-2.html</x:v>
      </x:c>
      <x:c r="S488" s="20" t="str">
        <x:v>Scroll Text Task</x:v>
      </x:c>
      <x:c r="T488" s="20" t="str">
        <x:v>RootWebArea 'Scroll Text Task', focused [13] textbox '' value='Volutpat condimentum. Quis nulla. Sed tincidunt bibendum nisi, bibendum donec quis a, eu varius sit. Eu. Sodales egestas est nibh felis dui diam,. Nulla a suspendisse. Potenti nisl, diam faucibus turpis. Lectus enim etiam ullamcorper amet ac lectus leo dui accumsan. Sodales amet facilisis eget mauris, interdum vitae. Vivamus. Mattis dolor, nullam neque pulvinar et volutpat mattis. Quis nullam venenatis. Odio. Diam. Sit in. Arcu amet mattis felis donec sodales sagittis proin sed. Sed scelerisque est pellentesque. Tristique molestie augue blandit purus suspendisse. Nec … StaticText 'Volutpat condimentum. Quis nulla. Sed tincidunt bibendum nisi, bibendum donec quis a, eu varius sit. Eu. Sodales egestas est nibh felis dui diam,. Nulla a suspendisse. Potenti nisl, diam faucibus turpis. Lectus enim etiam ullamcorper amet ac lectus…</x:v>
      </x:c>
      <x:c r="U488" s="6" t="str">
        <x:v>0</x:v>
      </x:c>
      <x:c r="V488" s="6" t="str">
        <x:v>0</x:v>
      </x:c>
      <x:c r="W488" s="6" t="str">
        <x:v>0</x:v>
      </x:c>
      <x:c r="X488" s="6" t="str">
        <x:v>1</x:v>
      </x:c>
      <x:c r="Y488" s="6" t="str">
        <x:v>0</x:v>
      </x:c>
      <x:c r="Z488" s="6" t="str">
        <x:v>1</x:v>
      </x:c>
      <x:c r="AA488" s="6" t="str">
        <x:v>0.0</x:v>
      </x:c>
      <x:c r="AB488" s="20" t="str">
        <x:v>Codex证据复核v1：原始记录唯一匹配、环境实测、反事实配对ID完整、终止且非成功、奖励非正、队列标签与结果派生规则一致；非人工签字。</x:v>
      </x:c>
    </x:row>
    <x:row r="489" ht="46" customHeight="1">
      <x:c r="A489" s="6" t="str">
        <x:v>1</x:v>
      </x:c>
      <x:c r="B489" s="6" t="str">
        <x:v>ce246e6a8e781a233a09</x:v>
      </x:c>
      <x:c r="C489" s="6" t="str">
        <x:v>evidence_approved</x:v>
      </x:c>
      <x:c r="D489" s="6" t="str">
        <x:v>codex-evidence-review-v1</x:v>
      </x:c>
      <x:c r="E489" s="22" t="n">
        <x:v>46244.40206471065</x:v>
      </x:c>
      <x:c r="F489" s="6" t="str">
        <x:v>20</x:v>
      </x:c>
      <x:c r="G489" s="20" t="str">
        <x:v>observed_counterfactual;severe_failure;terminal</x:v>
      </x:c>
      <x:c r="H489" s="20" t="str">
        <x:v>browsergym/miniwob.sign-agreement</x:v>
      </x:c>
      <x:c r="I489" s="6" t="str">
        <x:v>browsergym/miniwob.sign-agreement</x:v>
      </x:c>
      <x:c r="J489" s="6" t="str">
        <x:v>cf-sign-agreement-seed1005-hard_wrong_target</x:v>
      </x:c>
      <x:c r="K489" s="6" t="str">
        <x:v>0</x:v>
      </x:c>
      <x:c r="L489" s="20" t="str">
        <x:v>Scroll to the bottom of the textarea, enter the name "Riley" then press "Cancel"</x:v>
      </x:c>
      <x:c r="M489" s="20" t="str">
        <x:v>click("17", "left")</x:v>
      </x:c>
      <x:c r="N489" s="6" t="str">
        <x:v>0.0</x:v>
      </x:c>
      <x:c r="O489" s="20" t="str">
        <x:v>file:///root/autodl-tmp/miniwob-plusplus/miniwob/html/miniwob/sign-agreement.html</x:v>
      </x:c>
      <x:c r="P489" s="20" t="str">
        <x:v>Sign Agreement Task</x:v>
      </x:c>
      <x:c r="Q489" s="20" t="str">
        <x:v>RootWebArea 'Sign Agreement Task', focused [14] heading 'User agreement' [15] textbox '' value='Mattis. Facilisis id et et proin. Mattis malesuada purus a. Malesuada. Lorem. Nunc nunc sit pulvinar ut semper odio. Neque morbi turpis tristique ultrices quis. Nulla eget aliquet sed mattis. Donec at fringilla sollicitudin. Faucibus proin et urna. Semper at mattis enim congue massa in fermentum neque cursus morbi dictumst congue montes, dignissim massa amet, rhoncus, eu molestie. Duis risus lorem posuere euismod nunc tellus elementum elementum velit nunc velit lectus at aliquam massa, habitant. Vehicula. Lorem vitae sapien neque, et elit purus fermentum. Rhoncus dict… StaticText 'Mattis. Facilisis id et et proin. Mattis malesuada purus a. Malesuada. Lorem. Nunc nunc sit pulvinar ut semper odio. Neque morbi turpis tristique ultrices quis. Nulla eget aliquet sed mattis. Donec at fringilla soll…</x:v>
      </x:c>
      <x:c r="R489" s="20" t="str">
        <x:v>file:///root/autodl-tmp/miniwob-plusplus/miniwob/html/miniwob/sign-agreement.html</x:v>
      </x:c>
      <x:c r="S489" s="20" t="str">
        <x:v>Sign Agreement Task</x:v>
      </x:c>
      <x:c r="T489" s="20" t="str">
        <x:v>RootWebArea 'Sign Agreement Task', focused [14] heading 'User agreement' [15] textbox '' value='Mattis. Facilisis id et et proin. Mattis malesuada purus a. Malesuada. Lorem. Nunc nunc sit pulvinar ut semper odio. Neque morbi turpis tristique ultrices quis. Nulla eget aliquet sed mattis. Donec at fringilla sollicitudin. Faucibus proin et urna. Semper at mattis enim congue massa in fermentum neque cursus morbi dictumst congue montes, dignissim massa amet, rhoncus, eu molestie. Duis risus lorem posuere euismod nunc tellus elementum elementum velit nunc velit lectus at aliquam massa, habitant. Vehicula. Lorem vitae sapien neque, et elit purus fermentum. Rhoncus dict… StaticText 'Mattis. Facilisis id et et proin. Mattis malesuada purus a. Malesuada. Lorem. Nunc nunc sit pulvinar ut semper odio. Neque morbi turpis tristique ultrices quis. Nulla eget aliquet sed mattis. Donec at fringilla soll…</x:v>
      </x:c>
      <x:c r="U489" s="6" t="str">
        <x:v>0</x:v>
      </x:c>
      <x:c r="V489" s="6" t="str">
        <x:v>0</x:v>
      </x:c>
      <x:c r="W489" s="6" t="str">
        <x:v>0</x:v>
      </x:c>
      <x:c r="X489" s="6" t="str">
        <x:v>1</x:v>
      </x:c>
      <x:c r="Y489" s="6" t="str">
        <x:v>0</x:v>
      </x:c>
      <x:c r="Z489" s="6" t="str">
        <x:v>1</x:v>
      </x:c>
      <x:c r="AA489" s="6" t="str">
        <x:v>0.0</x:v>
      </x:c>
      <x:c r="AB489" s="20" t="str">
        <x:v>Codex证据复核v1：原始记录唯一匹配、环境实测、反事实配对ID完整、终止且非成功、奖励非正、队列标签与结果派生规则一致；非人工签字。</x:v>
      </x:c>
    </x:row>
    <x:row r="490" ht="46" customHeight="1">
      <x:c r="A490" s="6" t="str">
        <x:v>1</x:v>
      </x:c>
      <x:c r="B490" s="6" t="str">
        <x:v>0f6610c1a5364dbd5c8e</x:v>
      </x:c>
      <x:c r="C490" s="6" t="str">
        <x:v>evidence_approved</x:v>
      </x:c>
      <x:c r="D490" s="6" t="str">
        <x:v>codex-evidence-review-v1</x:v>
      </x:c>
      <x:c r="E490" s="22" t="n">
        <x:v>46244.40206471065</x:v>
      </x:c>
      <x:c r="F490" s="6" t="str">
        <x:v>20</x:v>
      </x:c>
      <x:c r="G490" s="20" t="str">
        <x:v>observed_counterfactual;severe_failure;terminal</x:v>
      </x:c>
      <x:c r="H490" s="20" t="str">
        <x:v>browsergym/miniwob.click-collapsible</x:v>
      </x:c>
      <x:c r="I490" s="6" t="str">
        <x:v>browsergym/miniwob.click-collapsible</x:v>
      </x:c>
      <x:c r="J490" s="6" t="str">
        <x:v>cf-click-collapsible-seed1021-hard_wrong_target</x:v>
      </x:c>
      <x:c r="K490" s="6" t="str">
        <x:v>0</x:v>
      </x:c>
      <x:c r="L490" s="20" t="str">
        <x:v>Expand the section below and click submit.</x:v>
      </x:c>
      <x:c r="M490" s="20" t="str">
        <x:v>click("19", "left")</x:v>
      </x:c>
      <x:c r="N490" s="6" t="str">
        <x:v>0.0</x:v>
      </x:c>
      <x:c r="O490" s="20" t="str">
        <x:v>file:///root/autodl-tmp/miniwob-plusplus/miniwob/html/miniwob/click-collapsible.html</x:v>
      </x:c>
      <x:c r="P490" s="20" t="str">
        <x:v>Click Collapsible Task</x:v>
      </x:c>
      <x:c r="Q490" s="20" t="str">
        <x:v>RootWebArea 'Click Collapsible Task', focused [15] tablist '', multiselectable=False, orientation='horizontal' [16] tab 'Section #4', clickable, expanded=False, selected=False, controls='ui-id-2' [19] tab 'Submit', clickable, expanded=False, selected=False [22] button 'Submit', clickable</x:v>
      </x:c>
      <x:c r="R490" s="20" t="str">
        <x:v>file:///root/autodl-tmp/miniwob-plusplus/miniwob/html/miniwob/click-collapsible.html</x:v>
      </x:c>
      <x:c r="S490" s="20" t="str">
        <x:v>Click Collapsible Task</x:v>
      </x:c>
      <x:c r="T490" s="20" t="str">
        <x:v>RootWebArea 'Click Collapsible Task', focused [15] tablist '', multiselectable=False, orientation='horizontal' [16] tab 'Section #4', clickable, expanded=False, selected=False, controls='ui-id-2' [19] tab 'Submit', clickable, expanded=False, selected=False [22] button 'Submit', clickable, focused</x:v>
      </x:c>
      <x:c r="U490" s="6" t="str">
        <x:v>0</x:v>
      </x:c>
      <x:c r="V490" s="6" t="str">
        <x:v>0</x:v>
      </x:c>
      <x:c r="W490" s="6" t="str">
        <x:v>0</x:v>
      </x:c>
      <x:c r="X490" s="6" t="str">
        <x:v>1</x:v>
      </x:c>
      <x:c r="Y490" s="6" t="str">
        <x:v>0</x:v>
      </x:c>
      <x:c r="Z490" s="6" t="str">
        <x:v>1</x:v>
      </x:c>
      <x:c r="AA490" s="6" t="str">
        <x:v>0.0</x:v>
      </x:c>
      <x:c r="AB490" s="20" t="str">
        <x:v>Codex证据复核v1：原始记录唯一匹配、环境实测、反事实配对ID完整、终止且非成功、奖励非正、队列标签与结果派生规则一致；非人工签字。</x:v>
      </x:c>
    </x:row>
    <x:row r="491" ht="46" customHeight="1">
      <x:c r="A491" s="6" t="str">
        <x:v>1</x:v>
      </x:c>
      <x:c r="B491" s="6" t="str">
        <x:v>89585bbf67b90de27b52</x:v>
      </x:c>
      <x:c r="C491" s="6" t="str">
        <x:v>evidence_approved</x:v>
      </x:c>
      <x:c r="D491" s="6" t="str">
        <x:v>codex-evidence-review-v1</x:v>
      </x:c>
      <x:c r="E491" s="22" t="n">
        <x:v>46244.40206471065</x:v>
      </x:c>
      <x:c r="F491" s="6" t="str">
        <x:v>20</x:v>
      </x:c>
      <x:c r="G491" s="20" t="str">
        <x:v>observed_counterfactual;severe_failure;terminal</x:v>
      </x:c>
      <x:c r="H491" s="20" t="str">
        <x:v>browsergym/miniwob.click-widget</x:v>
      </x:c>
      <x:c r="I491" s="6" t="str">
        <x:v>browsergym/miniwob.click-widget</x:v>
      </x:c>
      <x:c r="J491" s="6" t="str">
        <x:v>cf-click-widget-seed1003-wrong_action_type</x:v>
      </x:c>
      <x:c r="K491" s="6" t="str">
        <x:v>0</x:v>
      </x:c>
      <x:c r="L491" s="20" t="str">
        <x:v>Click on a "textarea" widget.</x:v>
      </x:c>
      <x:c r="M491" s="20" t="str">
        <x:v>click("18", "left")</x:v>
      </x:c>
      <x:c r="N491" s="6" t="str">
        <x:v>0.0</x:v>
      </x:c>
      <x:c r="O491" s="20" t="str">
        <x:v>file:///root/autodl-tmp/miniwob-plusplus/miniwob/html/miniwob/click-widget.html</x:v>
      </x:c>
      <x:c r="P491" s="20" t="str">
        <x:v>Click Widget Task</x:v>
      </x:c>
      <x:c r="Q491" s="20" t="str">
        <x:v>RootWebArea 'Click Widget Task', focused [14] LabelText '', clickable [15] checkbox 'YWCJ0', clickable, checked='false' StaticText 'YWCJ0' [17] LabelText '', clickable [18] radio 'L9I', clickable, checked='false' StaticText 'L9I' [20] LabelText '', clickable [21] checkbox 'Ml7U', clickable, checked='false' StaticText 'Ml7U' [23] textbox '' value='S' StaticText 'S' [25] textbox '' value='9fx3P', clickable StaticText '9fx3P'</x:v>
      </x:c>
      <x:c r="R491" s="20" t="str">
        <x:v>file:///root/autodl-tmp/miniwob-plusplus/miniwob/html/miniwob/click-widget.html</x:v>
      </x:c>
      <x:c r="S491" s="20" t="str">
        <x:v>Click Widget Task</x:v>
      </x:c>
      <x:c r="T491" s="20" t="str">
        <x:v>RootWebArea 'Click Widget Task', focused [14] LabelText '', clickable [15] checkbox 'YWCJ0', clickable, checked='false' StaticText 'YWCJ0' [17] LabelText '', clickable [18] radio 'L9I', clickable, focused, checked='true' StaticText 'L9I' [20] LabelText '', clickable [21] checkbox 'Ml7U', clickable, checked='false' StaticText 'Ml7U' [23] textbox '' value='S' StaticText 'S' [25] textbox '' value='9fx3P', clickable StaticText '9fx3P'</x:v>
      </x:c>
      <x:c r="U491" s="6" t="str">
        <x:v>0</x:v>
      </x:c>
      <x:c r="V491" s="6" t="str">
        <x:v>0</x:v>
      </x:c>
      <x:c r="W491" s="6" t="str">
        <x:v>0</x:v>
      </x:c>
      <x:c r="X491" s="6" t="str">
        <x:v>1</x:v>
      </x:c>
      <x:c r="Y491" s="6" t="str">
        <x:v>0</x:v>
      </x:c>
      <x:c r="Z491" s="6" t="str">
        <x:v>1</x:v>
      </x:c>
      <x:c r="AA491" s="6" t="str">
        <x:v>0.0</x:v>
      </x:c>
      <x:c r="AB491" s="20" t="str">
        <x:v>Codex证据复核v1：原始记录唯一匹配、环境实测、反事实配对ID完整、终止且非成功、奖励非正、队列标签与结果派生规则一致；非人工签字。</x:v>
      </x:c>
    </x:row>
    <x:row r="492" ht="46" customHeight="1">
      <x:c r="A492" s="6" t="str">
        <x:v>1</x:v>
      </x:c>
      <x:c r="B492" s="6" t="str">
        <x:v>f79f2e0b640f65223882</x:v>
      </x:c>
      <x:c r="C492" s="6" t="str">
        <x:v>evidence_approved</x:v>
      </x:c>
      <x:c r="D492" s="6" t="str">
        <x:v>codex-evidence-review-v1</x:v>
      </x:c>
      <x:c r="E492" s="22" t="n">
        <x:v>46244.40206471065</x:v>
      </x:c>
      <x:c r="F492" s="6" t="str">
        <x:v>20</x:v>
      </x:c>
      <x:c r="G492" s="20" t="str">
        <x:v>observed_counterfactual;severe_failure;terminal</x:v>
      </x:c>
      <x:c r="H492" s="20" t="str">
        <x:v>browsergym/miniwob.enter-text</x:v>
      </x:c>
      <x:c r="I492" s="6" t="str">
        <x:v>browsergym/miniwob.enter-text</x:v>
      </x:c>
      <x:c r="J492" s="6" t="str">
        <x:v>cf-enter-text-seed1025-hard_wrong_target</x:v>
      </x:c>
      <x:c r="K492" s="6" t="str">
        <x:v>0</x:v>
      </x:c>
      <x:c r="L492" s="20" t="str">
        <x:v>Enter "Thaddeus" into the text field and press Submit.</x:v>
      </x:c>
      <x:c r="M492" s="20" t="str">
        <x:v>click("15", "left")</x:v>
      </x:c>
      <x:c r="N492" s="6" t="str">
        <x:v>0.0</x:v>
      </x:c>
      <x:c r="O492" s="20" t="str">
        <x:v>file:///root/autodl-tmp/miniwob-plusplus/miniwob/html/miniwob/enter-text.html</x:v>
      </x:c>
      <x:c r="P492" s="20" t="str">
        <x:v>Enter Text Task</x:v>
      </x:c>
      <x:c r="Q492" s="20" t="str">
        <x:v>RootWebArea 'Enter Text Task', focused [14] textbox '', clickable [15] button 'Submit', clickable</x:v>
      </x:c>
      <x:c r="R492" s="20" t="str">
        <x:v>file:///root/autodl-tmp/miniwob-plusplus/miniwob/html/miniwob/enter-text.html</x:v>
      </x:c>
      <x:c r="S492" s="20" t="str">
        <x:v>Enter Text Task</x:v>
      </x:c>
      <x:c r="T492" s="20" t="str">
        <x:v>RootWebArea 'Enter Text Task', focused [14] textbox '', clickable [15] button 'Submit', clickable, focused</x:v>
      </x:c>
      <x:c r="U492" s="6" t="str">
        <x:v>0</x:v>
      </x:c>
      <x:c r="V492" s="6" t="str">
        <x:v>0</x:v>
      </x:c>
      <x:c r="W492" s="6" t="str">
        <x:v>0</x:v>
      </x:c>
      <x:c r="X492" s="6" t="str">
        <x:v>1</x:v>
      </x:c>
      <x:c r="Y492" s="6" t="str">
        <x:v>0</x:v>
      </x:c>
      <x:c r="Z492" s="6" t="str">
        <x:v>1</x:v>
      </x:c>
      <x:c r="AA492" s="6" t="str">
        <x:v>0.0</x:v>
      </x:c>
      <x:c r="AB492" s="20" t="str">
        <x:v>Codex证据复核v1：原始记录唯一匹配、环境实测、反事实配对ID完整、终止且非成功、奖励非正、队列标签与结果派生规则一致；非人工签字。</x:v>
      </x:c>
    </x:row>
    <x:row r="493" ht="46" customHeight="1">
      <x:c r="A493" s="6" t="str">
        <x:v>1</x:v>
      </x:c>
      <x:c r="B493" s="6" t="str">
        <x:v>03ef067d7c4e0c61b0fe</x:v>
      </x:c>
      <x:c r="C493" s="6" t="str">
        <x:v>evidence_approved</x:v>
      </x:c>
      <x:c r="D493" s="6" t="str">
        <x:v>codex-evidence-review-v1</x:v>
      </x:c>
      <x:c r="E493" s="22" t="n">
        <x:v>46244.40206471065</x:v>
      </x:c>
      <x:c r="F493" s="6" t="str">
        <x:v>20</x:v>
      </x:c>
      <x:c r="G493" s="20" t="str">
        <x:v>observed_counterfactual;severe_failure;terminal</x:v>
      </x:c>
      <x:c r="H493" s="20" t="str">
        <x:v>browsergym/miniwob.choose-list</x:v>
      </x:c>
      <x:c r="I493" s="6" t="str">
        <x:v>browsergym/miniwob.choose-list</x:v>
      </x:c>
      <x:c r="J493" s="6" t="str">
        <x:v>cf-choose-list-seed1010-wrong_action_type</x:v>
      </x:c>
      <x:c r="K493" s="6" t="str">
        <x:v>0</x:v>
      </x:c>
      <x:c r="L493" s="20" t="str">
        <x:v>Select Malaysia from the list and click Submit.</x:v>
      </x:c>
      <x:c r="M493" s="20" t="str">
        <x:v>click("22", "left")</x:v>
      </x:c>
      <x:c r="N493" s="6" t="str">
        <x:v>0.0</x:v>
      </x:c>
      <x:c r="O493" s="20" t="str">
        <x:v>file:///root/autodl-tmp/miniwob-plusplus/miniwob/html/miniwob/choose-list.html</x:v>
      </x:c>
      <x:c r="P493" s="20" t="str">
        <x:v>Choose List Task</x:v>
      </x:c>
      <x:c r="Q493" s="20" t="str">
        <x:v>RootWebArea 'Choose List Task', focused [13] combobox '' value='Tokelau', hasPopup='menu', expanded=False [22] button 'Submit', clickable</x:v>
      </x:c>
      <x:c r="R493" s="20" t="str">
        <x:v>file:///root/autodl-tmp/miniwob-plusplus/miniwob/html/miniwob/choose-list.html</x:v>
      </x:c>
      <x:c r="S493" s="20" t="str">
        <x:v>Choose List Task</x:v>
      </x:c>
      <x:c r="T493" s="20" t="str">
        <x:v>RootWebArea 'Choose List Task', focused [13] combobox '' value='Tokelau', hasPopup='menu', expanded=False [22] button 'Submit', clickable, focused</x:v>
      </x:c>
      <x:c r="U493" s="6" t="str">
        <x:v>0</x:v>
      </x:c>
      <x:c r="V493" s="6" t="str">
        <x:v>0</x:v>
      </x:c>
      <x:c r="W493" s="6" t="str">
        <x:v>0</x:v>
      </x:c>
      <x:c r="X493" s="6" t="str">
        <x:v>1</x:v>
      </x:c>
      <x:c r="Y493" s="6" t="str">
        <x:v>0</x:v>
      </x:c>
      <x:c r="Z493" s="6" t="str">
        <x:v>1</x:v>
      </x:c>
      <x:c r="AA493" s="6" t="str">
        <x:v>0.0</x:v>
      </x:c>
      <x:c r="AB493" s="20" t="str">
        <x:v>Codex证据复核v1：原始记录唯一匹配、环境实测、反事实配对ID完整、终止且非成功、奖励非正、队列标签与结果派生规则一致；非人工签字。</x:v>
      </x:c>
    </x:row>
    <x:row r="494" ht="46" customHeight="1">
      <x:c r="A494" s="6" t="str">
        <x:v>1</x:v>
      </x:c>
      <x:c r="B494" s="6" t="str">
        <x:v>9b6e0a2fd598483b066a</x:v>
      </x:c>
      <x:c r="C494" s="6" t="str">
        <x:v>evidence_approved</x:v>
      </x:c>
      <x:c r="D494" s="6" t="str">
        <x:v>codex-evidence-review-v1</x:v>
      </x:c>
      <x:c r="E494" s="22" t="n">
        <x:v>46244.40206471065</x:v>
      </x:c>
      <x:c r="F494" s="6" t="str">
        <x:v>20</x:v>
      </x:c>
      <x:c r="G494" s="20" t="str">
        <x:v>observed_counterfactual;severe_failure;terminal</x:v>
      </x:c>
      <x:c r="H494" s="20" t="str">
        <x:v>browsergym/miniwob.click-menu</x:v>
      </x:c>
      <x:c r="I494" s="6" t="str">
        <x:v>browsergym/miniwob.click-menu</x:v>
      </x:c>
      <x:c r="J494" s="6" t="str">
        <x:v>cf-click-menu-seed1010-wrong_action_type</x:v>
      </x:c>
      <x:c r="K494" s="6" t="str">
        <x:v>0</x:v>
      </x:c>
      <x:c r="L494" s="20" t="str">
        <x:v>Select Madeline&gt;Jessi&gt;Marylee</x:v>
      </x:c>
      <x:c r="M494" s="20" t="str">
        <x:v>click("21", "left")</x:v>
      </x:c>
      <x:c r="N494" s="6" t="str">
        <x:v>0.0</x:v>
      </x:c>
      <x:c r="O494" s="20" t="str">
        <x:v>file:///root/autodl-tmp/miniwob-plusplus/miniwob/html/miniwob/click-menu.html</x:v>
      </x:c>
      <x:c r="P494" s="20" t="str">
        <x:v>Click Menu Task</x:v>
      </x:c>
      <x:c r="Q494" s="20" t="str">
        <x:v>RootWebArea 'Click Menu Task', focused [17] menu '', clickable, orientation='vertical' image '' [19] menuitem 'Bernadene' image '' [21] menuitem 'Madeline', hasPopup='menu' image '' [49] menuitem 'Marilyn', hasPopup='menu' image '' [83] menuitem 'Sidonnie'</x:v>
      </x:c>
      <x:c r="R494" s="20" t="str">
        <x:v>file:///root/autodl-tmp/miniwob-plusplus/miniwob/html/miniwob/click-menu.html</x:v>
      </x:c>
      <x:c r="S494" s="20" t="str">
        <x:v>Click Menu Task</x:v>
      </x:c>
      <x:c r="T494" s="20" t="str">
        <x:v>RootWebArea 'Click Menu Task', focused [17] menu '', clickable, orientation='vertical' image '' [19] menuitem 'Bernadene' image '' [21] menuitem 'Madeline', hasPopup='menu' [23] menu '', orientation='vertical' image '' [25] menuitem 'Carlie', hasPopup='menu' image '' [37] menuitem 'Lanita' image '' [39] menuitem 'Jessi', hasPopup='menu' image '' [49] menuitem 'Marilyn', hasPopup='menu' image '' [83] menuitem 'Sidonnie'</x:v>
      </x:c>
      <x:c r="U494" s="6" t="str">
        <x:v>0</x:v>
      </x:c>
      <x:c r="V494" s="6" t="str">
        <x:v>0</x:v>
      </x:c>
      <x:c r="W494" s="6" t="str">
        <x:v>0</x:v>
      </x:c>
      <x:c r="X494" s="6" t="str">
        <x:v>1</x:v>
      </x:c>
      <x:c r="Y494" s="6" t="str">
        <x:v>0</x:v>
      </x:c>
      <x:c r="Z494" s="6" t="str">
        <x:v>1</x:v>
      </x:c>
      <x:c r="AA494" s="6" t="str">
        <x:v>0.0</x:v>
      </x:c>
      <x:c r="AB494" s="20" t="str">
        <x:v>Codex证据复核v1：原始记录唯一匹配、环境实测、反事实配对ID完整、终止且非成功、奖励非正、队列标签与结果派生规则一致；非人工签字。</x:v>
      </x:c>
    </x:row>
    <x:row r="495" ht="46" customHeight="1">
      <x:c r="A495" s="6" t="str">
        <x:v>1</x:v>
      </x:c>
      <x:c r="B495" s="6" t="str">
        <x:v>5c087d23f2066ebe0149</x:v>
      </x:c>
      <x:c r="C495" s="6" t="str">
        <x:v>evidence_approved</x:v>
      </x:c>
      <x:c r="D495" s="6" t="str">
        <x:v>codex-evidence-review-v1</x:v>
      </x:c>
      <x:c r="E495" s="22" t="n">
        <x:v>46244.40206471065</x:v>
      </x:c>
      <x:c r="F495" s="6" t="str">
        <x:v>20</x:v>
      </x:c>
      <x:c r="G495" s="20" t="str">
        <x:v>observed_counterfactual;severe_failure;terminal</x:v>
      </x:c>
      <x:c r="H495" s="20" t="str">
        <x:v>browsergym/miniwob.click-dialog-2</x:v>
      </x:c>
      <x:c r="I495" s="6" t="str">
        <x:v>browsergym/miniwob.click-dialog-2</x:v>
      </x:c>
      <x:c r="J495" s="6" t="str">
        <x:v>cf-click-dialog-2-seed1032-hard_wrong_target</x:v>
      </x:c>
      <x:c r="K495" s="6" t="str">
        <x:v>0</x:v>
      </x:c>
      <x:c r="L495" s="20" t="str">
        <x:v>Click the button in the dialog box labeled "x".</x:v>
      </x:c>
      <x:c r="M495" s="20" t="str">
        <x:v>click("27", "left")</x:v>
      </x:c>
      <x:c r="N495" s="6" t="str">
        <x:v>0.0</x:v>
      </x:c>
      <x:c r="O495" s="20" t="str">
        <x:v>file:///root/autodl-tmp/miniwob-plusplus/miniwob/html/miniwob/click-dialog-2.html</x:v>
      </x:c>
      <x:c r="P495" s="20" t="str">
        <x:v>Click Dialog Task</x:v>
      </x:c>
      <x:c r="Q495" s="20" t="str">
        <x:v>RootWebArea 'Click Dialog Task', focused [17] dialog '', clickable, modal=False, describedby='dialog' StaticText '' [20] button 'Close', clickable [24] paragraph '' StaticText 'Leo. Vitae porttitor non. In mauris.' [27] button 'Cancel', clickable, focused [28] button 'OK', clickable</x:v>
      </x:c>
      <x:c r="R495" s="20" t="str">
        <x:v>file:///root/autodl-tmp/miniwob-plusplus/miniwob/html/miniwob/click-dialog-2.html</x:v>
      </x:c>
      <x:c r="S495" s="20" t="str">
        <x:v>Click Dialog Task</x:v>
      </x:c>
      <x:c r="T495" s="20" t="str">
        <x:v>RootWebArea 'Click Dialog Task', focused [17] dialog '', clickable, modal=False, describedby='dialog' StaticText '' [20] button 'Close', clickable [24] paragraph '' StaticText 'Leo. Vitae porttitor non. In mauris.' [27] button 'Cancel', clickable, focused [28] button 'OK', clickable</x:v>
      </x:c>
      <x:c r="U495" s="6" t="str">
        <x:v>0</x:v>
      </x:c>
      <x:c r="V495" s="6" t="str">
        <x:v>0</x:v>
      </x:c>
      <x:c r="W495" s="6" t="str">
        <x:v>0</x:v>
      </x:c>
      <x:c r="X495" s="6" t="str">
        <x:v>1</x:v>
      </x:c>
      <x:c r="Y495" s="6" t="str">
        <x:v>0</x:v>
      </x:c>
      <x:c r="Z495" s="6" t="str">
        <x:v>1</x:v>
      </x:c>
      <x:c r="AA495" s="6" t="str">
        <x:v>0.0</x:v>
      </x:c>
      <x:c r="AB495" s="20" t="str">
        <x:v>Codex证据复核v1：原始记录唯一匹配、环境实测、反事实配对ID完整、终止且非成功、奖励非正、队列标签与结果派生规则一致；非人工签字。</x:v>
      </x:c>
    </x:row>
    <x:row r="496" ht="46" customHeight="1">
      <x:c r="A496" s="6" t="str">
        <x:v>1</x:v>
      </x:c>
      <x:c r="B496" s="6" t="str">
        <x:v>ceef946da0dea6795601</x:v>
      </x:c>
      <x:c r="C496" s="6" t="str">
        <x:v>evidence_approved</x:v>
      </x:c>
      <x:c r="D496" s="6" t="str">
        <x:v>codex-evidence-review-v1</x:v>
      </x:c>
      <x:c r="E496" s="22" t="n">
        <x:v>46244.40206471065</x:v>
      </x:c>
      <x:c r="F496" s="6" t="str">
        <x:v>20</x:v>
      </x:c>
      <x:c r="G496" s="20" t="str">
        <x:v>observed_counterfactual;severe_failure;terminal</x:v>
      </x:c>
      <x:c r="H496" s="20" t="str">
        <x:v>browsergym/miniwob.click-widget</x:v>
      </x:c>
      <x:c r="I496" s="6" t="str">
        <x:v>browsergym/miniwob.click-widget</x:v>
      </x:c>
      <x:c r="J496" s="6" t="str">
        <x:v>cf-click-widget-seed1026-wrong_action_type</x:v>
      </x:c>
      <x:c r="K496" s="6" t="str">
        <x:v>0</x:v>
      </x:c>
      <x:c r="L496" s="20" t="str">
        <x:v>Click on a "text" widget.</x:v>
      </x:c>
      <x:c r="M496" s="20" t="str">
        <x:v>click("19", "left")</x:v>
      </x:c>
      <x:c r="N496" s="6" t="str">
        <x:v>0.0</x:v>
      </x:c>
      <x:c r="O496" s="20" t="str">
        <x:v>file:///root/autodl-tmp/miniwob-plusplus/miniwob/html/miniwob/click-widget.html</x:v>
      </x:c>
      <x:c r="P496" s="20" t="str">
        <x:v>Click Widget Task</x:v>
      </x:c>
      <x:c r="Q496" s="20" t="str">
        <x:v>RootWebArea 'Click Widget Task', focused [14] textbox '' value='EAT' StaticText 'EAT' [16] textbox '' value='Js' StaticText 'Js' [18] LabelText '', clickable [19] radio 'r', clickable, checked='false' StaticText 'r' [21] textbox '' value='WhM', clickable StaticText 'WhM' [23] textbox '' value='0d3c' StaticText '0d3c'</x:v>
      </x:c>
      <x:c r="R496" s="20" t="str">
        <x:v>file:///root/autodl-tmp/miniwob-plusplus/miniwob/html/miniwob/click-widget.html</x:v>
      </x:c>
      <x:c r="S496" s="20" t="str">
        <x:v>Click Widget Task</x:v>
      </x:c>
      <x:c r="T496" s="20" t="str">
        <x:v>RootWebArea 'Click Widget Task', focused [14] textbox '' value='EAT' StaticText 'EAT' [16] textbox '' value='Js' StaticText 'Js' [18] LabelText '', clickable [19] radio 'r', clickable, focused, checked='true' StaticText 'r' [21] textbox '' value='WhM', clickable StaticText 'WhM' [23] textbox '' value='0d3c' StaticText '0d3c'</x:v>
      </x:c>
      <x:c r="U496" s="6" t="str">
        <x:v>0</x:v>
      </x:c>
      <x:c r="V496" s="6" t="str">
        <x:v>0</x:v>
      </x:c>
      <x:c r="W496" s="6" t="str">
        <x:v>0</x:v>
      </x:c>
      <x:c r="X496" s="6" t="str">
        <x:v>1</x:v>
      </x:c>
      <x:c r="Y496" s="6" t="str">
        <x:v>0</x:v>
      </x:c>
      <x:c r="Z496" s="6" t="str">
        <x:v>1</x:v>
      </x:c>
      <x:c r="AA496" s="6" t="str">
        <x:v>0.0</x:v>
      </x:c>
      <x:c r="AB496" s="20" t="str">
        <x:v>Codex证据复核v1：原始记录唯一匹配、环境实测、反事实配对ID完整、终止且非成功、奖励非正、队列标签与结果派生规则一致；非人工签字。</x:v>
      </x:c>
    </x:row>
    <x:row r="497" ht="46" customHeight="1">
      <x:c r="A497" s="6" t="str">
        <x:v>1</x:v>
      </x:c>
      <x:c r="B497" s="6" t="str">
        <x:v>8a8dcc6440c4e48fd332</x:v>
      </x:c>
      <x:c r="C497" s="6" t="str">
        <x:v>evidence_approved</x:v>
      </x:c>
      <x:c r="D497" s="6" t="str">
        <x:v>codex-evidence-review-v1</x:v>
      </x:c>
      <x:c r="E497" s="22" t="n">
        <x:v>46244.40206471065</x:v>
      </x:c>
      <x:c r="F497" s="6" t="str">
        <x:v>20</x:v>
      </x:c>
      <x:c r="G497" s="20" t="str">
        <x:v>observed_counterfactual;severe_failure;terminal</x:v>
      </x:c>
      <x:c r="H497" s="20" t="str">
        <x:v>browsergym/miniwob.enter-text-dynamic</x:v>
      </x:c>
      <x:c r="I497" s="6" t="str">
        <x:v>browsergym/miniwob.enter-text-dynamic</x:v>
      </x:c>
      <x:c r="J497" s="6" t="str">
        <x:v>cf-enter-text-dynamic-seed1019-hard_wrong_target</x:v>
      </x:c>
      <x:c r="K497" s="6" t="str">
        <x:v>0</x:v>
      </x:c>
      <x:c r="L497" s="20" t="str">
        <x:v>Enter "TSC" into the text field and press Submit.</x:v>
      </x:c>
      <x:c r="M497" s="20" t="str">
        <x:v>click("15", "left")</x:v>
      </x:c>
      <x:c r="N497" s="6" t="str">
        <x:v>0.0</x:v>
      </x:c>
      <x:c r="O497" s="20" t="str">
        <x:v>file:///root/autodl-tmp/miniwob-plusplus/miniwob/html/miniwob/enter-text-dynamic.html</x:v>
      </x:c>
      <x:c r="P497" s="20" t="str">
        <x:v>Enter Dynamic Text Task</x:v>
      </x:c>
      <x:c r="Q497" s="20" t="str">
        <x:v>RootWebArea 'Enter Dynamic Text Task', focused [14] textbox '', clickable [15] button 'Submit', clickable</x:v>
      </x:c>
      <x:c r="R497" s="20" t="str">
        <x:v>file:///root/autodl-tmp/miniwob-plusplus/miniwob/html/miniwob/enter-text-dynamic.html</x:v>
      </x:c>
      <x:c r="S497" s="20" t="str">
        <x:v>Enter Dynamic Text Task</x:v>
      </x:c>
      <x:c r="T497" s="20" t="str">
        <x:v>RootWebArea 'Enter Dynamic Text Task', focused [14] textbox '', clickable [15] button 'Submit', clickable, focused</x:v>
      </x:c>
      <x:c r="U497" s="6" t="str">
        <x:v>0</x:v>
      </x:c>
      <x:c r="V497" s="6" t="str">
        <x:v>0</x:v>
      </x:c>
      <x:c r="W497" s="6" t="str">
        <x:v>0</x:v>
      </x:c>
      <x:c r="X497" s="6" t="str">
        <x:v>1</x:v>
      </x:c>
      <x:c r="Y497" s="6" t="str">
        <x:v>0</x:v>
      </x:c>
      <x:c r="Z497" s="6" t="str">
        <x:v>1</x:v>
      </x:c>
      <x:c r="AA497" s="6" t="str">
        <x:v>0.0</x:v>
      </x:c>
      <x:c r="AB497" s="20" t="str">
        <x:v>Codex证据复核v1：原始记录唯一匹配、环境实测、反事实配对ID完整、终止且非成功、奖励非正、队列标签与结果派生规则一致；非人工签字。</x:v>
      </x:c>
    </x:row>
    <x:row r="498" ht="46" customHeight="1">
      <x:c r="A498" s="6" t="str">
        <x:v>1</x:v>
      </x:c>
      <x:c r="B498" s="6" t="str">
        <x:v>a313be753d59c914fe9c</x:v>
      </x:c>
      <x:c r="C498" s="6" t="str">
        <x:v>evidence_approved</x:v>
      </x:c>
      <x:c r="D498" s="6" t="str">
        <x:v>codex-evidence-review-v1</x:v>
      </x:c>
      <x:c r="E498" s="22" t="n">
        <x:v>46244.40206471065</x:v>
      </x:c>
      <x:c r="F498" s="6" t="str">
        <x:v>20</x:v>
      </x:c>
      <x:c r="G498" s="20" t="str">
        <x:v>observed_counterfactual;severe_failure;terminal</x:v>
      </x:c>
      <x:c r="H498" s="20" t="str">
        <x:v>browsergym/miniwob.click-dialog-2</x:v>
      </x:c>
      <x:c r="I498" s="6" t="str">
        <x:v>browsergym/miniwob.click-dialog-2</x:v>
      </x:c>
      <x:c r="J498" s="6" t="str">
        <x:v>cf-click-dialog-2-seed1017-hard_wrong_target</x:v>
      </x:c>
      <x:c r="K498" s="6" t="str">
        <x:v>0</x:v>
      </x:c>
      <x:c r="L498" s="20" t="str">
        <x:v>Click the button in the dialog box labeled "x".</x:v>
      </x:c>
      <x:c r="M498" s="20" t="str">
        <x:v>click("28", "left")</x:v>
      </x:c>
      <x:c r="N498" s="6" t="str">
        <x:v>0.0</x:v>
      </x:c>
      <x:c r="O498" s="20" t="str">
        <x:v>file:///root/autodl-tmp/miniwob-plusplus/miniwob/html/miniwob/click-dialog-2.html</x:v>
      </x:c>
      <x:c r="P498" s="20" t="str">
        <x:v>Click Dialog Task</x:v>
      </x:c>
      <x:c r="Q498" s="20" t="str">
        <x:v>RootWebArea 'Click Dialog Task', focused [17] dialog '', clickable, modal=False, describedby='dialog' StaticText '' [20] button 'Close', clickable [24] paragraph '' StaticText 'In. Diam. Nunc,. Eget mattis a, dui.' [27] button 'Cancel', clickable, focused [28] button 'OK', clickable</x:v>
      </x:c>
      <x:c r="R498" s="20" t="str">
        <x:v>file:///root/autodl-tmp/miniwob-plusplus/miniwob/html/miniwob/click-dialog-2.html</x:v>
      </x:c>
      <x:c r="S498" s="20" t="str">
        <x:v>Click Dialog Task</x:v>
      </x:c>
      <x:c r="T498" s="20" t="str">
        <x:v>RootWebArea 'Click Dialog Task', focused [17] dialog '', clickable, modal=False, describedby='dialog' StaticText '' [20] button 'Close', clickable [24] paragraph '' StaticText 'In. Diam. Nunc,. Eget mattis a, dui.' [27] button 'Cancel', clickable [28] button 'OK', clickable, focused</x:v>
      </x:c>
      <x:c r="U498" s="6" t="str">
        <x:v>0</x:v>
      </x:c>
      <x:c r="V498" s="6" t="str">
        <x:v>0</x:v>
      </x:c>
      <x:c r="W498" s="6" t="str">
        <x:v>0</x:v>
      </x:c>
      <x:c r="X498" s="6" t="str">
        <x:v>1</x:v>
      </x:c>
      <x:c r="Y498" s="6" t="str">
        <x:v>0</x:v>
      </x:c>
      <x:c r="Z498" s="6" t="str">
        <x:v>1</x:v>
      </x:c>
      <x:c r="AA498" s="6" t="str">
        <x:v>0.0</x:v>
      </x:c>
      <x:c r="AB498" s="20" t="str">
        <x:v>Codex证据复核v1：原始记录唯一匹配、环境实测、反事实配对ID完整、终止且非成功、奖励非正、队列标签与结果派生规则一致；非人工签字。</x:v>
      </x:c>
    </x:row>
    <x:row r="499" ht="46" customHeight="1">
      <x:c r="A499" s="6" t="str">
        <x:v>1</x:v>
      </x:c>
      <x:c r="B499" s="6" t="str">
        <x:v>2a45d5b9a772ae51c166</x:v>
      </x:c>
      <x:c r="C499" s="6" t="str">
        <x:v>evidence_approved</x:v>
      </x:c>
      <x:c r="D499" s="6" t="str">
        <x:v>codex-evidence-review-v1</x:v>
      </x:c>
      <x:c r="E499" s="22" t="n">
        <x:v>46244.40206471065</x:v>
      </x:c>
      <x:c r="F499" s="6" t="str">
        <x:v>20</x:v>
      </x:c>
      <x:c r="G499" s="20" t="str">
        <x:v>observed_counterfactual;severe_failure;terminal</x:v>
      </x:c>
      <x:c r="H499" s="20" t="str">
        <x:v>browsergym/miniwob.enter-text-dynamic</x:v>
      </x:c>
      <x:c r="I499" s="6" t="str">
        <x:v>browsergym/miniwob.enter-text-dynamic</x:v>
      </x:c>
      <x:c r="J499" s="6" t="str">
        <x:v>cf-enter-text-dynamic-seed1024-hard_wrong_target</x:v>
      </x:c>
      <x:c r="K499" s="6" t="str">
        <x:v>0</x:v>
      </x:c>
      <x:c r="L499" s="20" t="str">
        <x:v>Enter "2" into the text field and press Submit.</x:v>
      </x:c>
      <x:c r="M499" s="20" t="str">
        <x:v>click("15", "left")</x:v>
      </x:c>
      <x:c r="N499" s="6" t="str">
        <x:v>0.0</x:v>
      </x:c>
      <x:c r="O499" s="20" t="str">
        <x:v>file:///root/autodl-tmp/miniwob-plusplus/miniwob/html/miniwob/enter-text-dynamic.html</x:v>
      </x:c>
      <x:c r="P499" s="20" t="str">
        <x:v>Enter Dynamic Text Task</x:v>
      </x:c>
      <x:c r="Q499" s="20" t="str">
        <x:v>RootWebArea 'Enter Dynamic Text Task', focused [14] textbox '', clickable [15] button 'Submit', clickable</x:v>
      </x:c>
      <x:c r="R499" s="20" t="str">
        <x:v>file:///root/autodl-tmp/miniwob-plusplus/miniwob/html/miniwob/enter-text-dynamic.html</x:v>
      </x:c>
      <x:c r="S499" s="20" t="str">
        <x:v>Enter Dynamic Text Task</x:v>
      </x:c>
      <x:c r="T499" s="20" t="str">
        <x:v>RootWebArea 'Enter Dynamic Text Task', focused [14] textbox '', clickable [15] button 'Submit', clickable, focused</x:v>
      </x:c>
      <x:c r="U499" s="6" t="str">
        <x:v>0</x:v>
      </x:c>
      <x:c r="V499" s="6" t="str">
        <x:v>0</x:v>
      </x:c>
      <x:c r="W499" s="6" t="str">
        <x:v>0</x:v>
      </x:c>
      <x:c r="X499" s="6" t="str">
        <x:v>1</x:v>
      </x:c>
      <x:c r="Y499" s="6" t="str">
        <x:v>0</x:v>
      </x:c>
      <x:c r="Z499" s="6" t="str">
        <x:v>1</x:v>
      </x:c>
      <x:c r="AA499" s="6" t="str">
        <x:v>0.0</x:v>
      </x:c>
      <x:c r="AB499" s="20" t="str">
        <x:v>Codex证据复核v1：原始记录唯一匹配、环境实测、反事实配对ID完整、终止且非成功、奖励非正、队列标签与结果派生规则一致；非人工签字。</x:v>
      </x:c>
    </x:row>
    <x:row r="500" ht="46" customHeight="1">
      <x:c r="A500" s="6" t="str">
        <x:v>1</x:v>
      </x:c>
      <x:c r="B500" s="6" t="str">
        <x:v>41152dd12790097b6745</x:v>
      </x:c>
      <x:c r="C500" s="6" t="str">
        <x:v>evidence_approved</x:v>
      </x:c>
      <x:c r="D500" s="6" t="str">
        <x:v>codex-evidence-review-v1</x:v>
      </x:c>
      <x:c r="E500" s="22" t="n">
        <x:v>46244.40206471065</x:v>
      </x:c>
      <x:c r="F500" s="6" t="str">
        <x:v>20</x:v>
      </x:c>
      <x:c r="G500" s="20" t="str">
        <x:v>observed_counterfactual;severe_failure;terminal</x:v>
      </x:c>
      <x:c r="H500" s="20" t="str">
        <x:v>browsergym/miniwob.click-dialog-2</x:v>
      </x:c>
      <x:c r="I500" s="6" t="str">
        <x:v>browsergym/miniwob.click-dialog-2</x:v>
      </x:c>
      <x:c r="J500" s="6" t="str">
        <x:v>cf-click-dialog-2-seed1012-hard_wrong_target</x:v>
      </x:c>
      <x:c r="K500" s="6" t="str">
        <x:v>0</x:v>
      </x:c>
      <x:c r="L500" s="20" t="str">
        <x:v>Click the button in the dialog box labeled "OK".</x:v>
      </x:c>
      <x:c r="M500" s="20" t="str">
        <x:v>click("20", "left")</x:v>
      </x:c>
      <x:c r="N500" s="6" t="str">
        <x:v>0.0</x:v>
      </x:c>
      <x:c r="O500" s="20" t="str">
        <x:v>file:///root/autodl-tmp/miniwob-plusplus/miniwob/html/miniwob/click-dialog-2.html</x:v>
      </x:c>
      <x:c r="P500" s="20" t="str">
        <x:v>Click Dialog Task</x:v>
      </x:c>
      <x:c r="Q500" s="20" t="str">
        <x:v>RootWebArea 'Click Dialog Task', focused [17] dialog '', clickable, modal=False, describedby='dialog' StaticText '' [20] button 'Close', clickable [24] paragraph '' StaticText 'Diam. Viverra suspendisse. Dignissim.' [27] button 'Cancel', clickable, focused [28] button 'OK', clickable</x:v>
      </x:c>
      <x:c r="R500" s="20" t="str">
        <x:v>file:///root/autodl-tmp/miniwob-plusplus/miniwob/html/miniwob/click-dialog-2.html</x:v>
      </x:c>
      <x:c r="S500" s="20" t="str">
        <x:v>Click Dialog Task</x:v>
      </x:c>
      <x:c r="T500" s="20" t="str">
        <x:v>RootWebArea 'Click Dialog Task', focused</x:v>
      </x:c>
      <x:c r="U500" s="6" t="str">
        <x:v>0</x:v>
      </x:c>
      <x:c r="V500" s="6" t="str">
        <x:v>0</x:v>
      </x:c>
      <x:c r="W500" s="6" t="str">
        <x:v>0</x:v>
      </x:c>
      <x:c r="X500" s="6" t="str">
        <x:v>1</x:v>
      </x:c>
      <x:c r="Y500" s="6" t="str">
        <x:v>0</x:v>
      </x:c>
      <x:c r="Z500" s="6" t="str">
        <x:v>1</x:v>
      </x:c>
      <x:c r="AA500" s="6" t="str">
        <x:v>0.0</x:v>
      </x:c>
      <x:c r="AB500" s="20" t="str">
        <x:v>Codex证据复核v1：原始记录唯一匹配、环境实测、反事实配对ID完整、终止且非成功、奖励非正、队列标签与结果派生规则一致；非人工签字。</x:v>
      </x:c>
    </x:row>
    <x:row r="501" ht="46" customHeight="1">
      <x:c r="A501" s="6" t="str">
        <x:v>1</x:v>
      </x:c>
      <x:c r="B501" s="6" t="str">
        <x:v>702cd00bb3b51be723b8</x:v>
      </x:c>
      <x:c r="C501" s="6" t="str">
        <x:v>evidence_approved</x:v>
      </x:c>
      <x:c r="D501" s="6" t="str">
        <x:v>codex-evidence-review-v1</x:v>
      </x:c>
      <x:c r="E501" s="22" t="n">
        <x:v>46244.40206471065</x:v>
      </x:c>
      <x:c r="F501" s="6" t="str">
        <x:v>20</x:v>
      </x:c>
      <x:c r="G501" s="20" t="str">
        <x:v>observed_counterfactual;severe_failure;terminal</x:v>
      </x:c>
      <x:c r="H501" s="20" t="str">
        <x:v>browsergym/miniwob.click-button</x:v>
      </x:c>
      <x:c r="I501" s="6" t="str">
        <x:v>browsergym/miniwob.click-button</x:v>
      </x:c>
      <x:c r="J501" s="6" t="str">
        <x:v>cf-click-button-seed1024-hard_wrong_target</x:v>
      </x:c>
      <x:c r="K501" s="6" t="str">
        <x:v>0</x:v>
      </x:c>
      <x:c r="L501" s="20" t="str">
        <x:v>Click on the "okay" button.</x:v>
      </x:c>
      <x:c r="M501" s="20" t="str">
        <x:v>click("14", "left")</x:v>
      </x:c>
      <x:c r="N501" s="6" t="str">
        <x:v>0.0</x:v>
      </x:c>
      <x:c r="O501" s="20" t="str">
        <x:v>file:///root/autodl-tmp/miniwob-plusplus/miniwob/html/miniwob/click-button.html</x:v>
      </x:c>
      <x:c r="P501" s="20" t="str">
        <x:v>Click Button Task</x:v>
      </x:c>
      <x:c r="Q501" s="20" t="str">
        <x:v>RootWebArea 'Click Button Task', focused [12] button 'okay', clickable [14] button 'previous', clickable [15] textbox '', clickable StaticText 'consectetur turpis aliquet:' [18] textbox '', clickable StaticText 'vitae proin sem' StaticText 'phasellus rutrum nunc:' [22] textbox '', clickable</x:v>
      </x:c>
      <x:c r="R501" s="20" t="str">
        <x:v>file:///root/autodl-tmp/miniwob-plusplus/miniwob/html/miniwob/click-button.html</x:v>
      </x:c>
      <x:c r="S501" s="20" t="str">
        <x:v>Click Button Task</x:v>
      </x:c>
      <x:c r="T501" s="20" t="str">
        <x:v>RootWebArea 'Click Button Task', focused [12] button 'okay', clickable [14] button 'previous', clickable, focused [15] textbox '', clickable StaticText 'consectetur turpis aliquet:' [18] textbox '', clickable StaticText 'vitae proin sem' StaticText 'phasellus rutrum nunc:' [22] textbox '', clickable</x:v>
      </x:c>
      <x:c r="U501" s="6" t="str">
        <x:v>0</x:v>
      </x:c>
      <x:c r="V501" s="6" t="str">
        <x:v>0</x:v>
      </x:c>
      <x:c r="W501" s="6" t="str">
        <x:v>0</x:v>
      </x:c>
      <x:c r="X501" s="6" t="str">
        <x:v>1</x:v>
      </x:c>
      <x:c r="Y501" s="6" t="str">
        <x:v>0</x:v>
      </x:c>
      <x:c r="Z501" s="6" t="str">
        <x:v>1</x:v>
      </x:c>
      <x:c r="AA501" s="6" t="str">
        <x:v>0.0</x:v>
      </x:c>
      <x:c r="AB501" s="20" t="str">
        <x:v>Codex证据复核v1：原始记录唯一匹配、环境实测、反事实配对ID完整、终止且非成功、奖励非正、队列标签与结果派生规则一致；非人工签字。</x:v>
      </x:c>
    </x:row>
  </x:sheetData>
  <x:conditionalFormatting sqref="C2:C501">
    <x:cfRule type="containsText" dxfId="0" priority="1" operator="containsText" text="evidence_approved"/>
    <x:cfRule type="containsText" dxfId="1" priority="2" operator="containsText" text="pending"/>
    <x:cfRule type="containsText" dxfId="2" priority="3" operator="containsText" text="approved"/>
  </x:conditionalFormatting>
  <x:conditionalFormatting sqref="X2:X501">
    <x:cfRule type="cellIs" dxfId="3" priority="4" operator="equal">
      <x:formula>1</x:formula>
    </x:cfRule>
  </x:conditionalFormatting>
  <x:dataValidations count="1">
    <x:dataValidation type="list" sqref="C2:C501">
      <x:formula1>"pending,evidence_approved,approved,rejected"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s>
  <x:sheetData>
    <x:row r="1" ht="42" customHeight="1">
      <x:c r="A1" s="30" t="str">
        <x:v>阶段二高风险轨迹证据复核汇总</x:v>
      </x:c>
      <x:c r="B1" s="30"/>
      <x:c r="C1" s="30"/>
      <x:c r="D1" s="30"/>
      <x:c r="E1" s="30"/>
      <x:c r="F1" s="30"/>
      <x:c r="G1" s="30"/>
      <x:c r="H1" s="30"/>
      <x:c r="I1" s="30"/>
      <x:c r="J1" s="30"/>
      <x:c r="K1" s="30"/>
    </x:row>
    <x:row r="2" ht="28" customHeight="1">
      <x:c r="A2" s="34" t="str">
        <x:v>500 条环境实测反事实终止轨迹｜Codex 证据复核 v1｜human_signoff = false</x:v>
      </x:c>
      <x:c r="B2" s="34"/>
      <x:c r="C2" s="34"/>
      <x:c r="D2" s="34"/>
      <x:c r="E2" s="34"/>
      <x:c r="F2" s="34"/>
      <x:c r="G2" s="34"/>
      <x:c r="H2" s="34"/>
      <x:c r="I2" s="34"/>
      <x:c r="J2" s="34"/>
      <x:c r="K2" s="34"/>
    </x:row>
    <x:row r="3">
      <x:c r="A3" s="36"/>
      <x:c r="B3" s="36"/>
      <x:c r="C3" s="36"/>
      <x:c r="D3" s="36"/>
      <x:c r="E3" s="36"/>
      <x:c r="F3" s="36"/>
      <x:c r="G3" s="36"/>
      <x:c r="H3" s="36"/>
      <x:c r="I3" s="36"/>
      <x:c r="J3" s="36"/>
      <x:c r="K3" s="36"/>
    </x:row>
    <x:row r="4">
      <x:c r="A4" s="42" t="str">
        <x:v>核心指标</x:v>
      </x:c>
      <x:c r="B4" s="42" t="str">
        <x:v>数量</x:v>
      </x:c>
      <x:c r="C4" s="36"/>
      <x:c r="D4" s="36"/>
      <x:c r="E4" s="36"/>
      <x:c r="F4" s="36"/>
      <x:c r="G4" s="36"/>
      <x:c r="H4" s="36"/>
      <x:c r="I4" s="36"/>
      <x:c r="J4" s="36"/>
      <x:c r="K4" s="36"/>
    </x:row>
    <x:row r="5">
      <x:c r="A5" s="38" t="str">
        <x:v>队列记录</x:v>
      </x:c>
      <x:c r="B5" s="50" t="n">
        <x:f>COUNTA('复核明细'!$B$2:$B$501)</x:f>
        <x:v>500</x:v>
      </x:c>
      <x:c r="C5" s="36"/>
      <x:c r="D5" s="36"/>
      <x:c r="E5" s="36"/>
      <x:c r="F5" s="36"/>
      <x:c r="G5" s="36"/>
      <x:c r="H5" s="36"/>
      <x:c r="I5" s="36"/>
      <x:c r="J5" s="36"/>
      <x:c r="K5" s="36"/>
    </x:row>
    <x:row r="6">
      <x:c r="A6" s="38" t="str">
        <x:v>证据批准</x:v>
      </x:c>
      <x:c r="B6" s="50" t="n">
        <x:f>COUNTIF('复核明细'!$C$2:$C$501,"evidence_approved")</x:f>
        <x:v>500</x:v>
      </x:c>
      <x:c r="C6" s="36"/>
      <x:c r="D6" s="36"/>
      <x:c r="E6" s="36"/>
      <x:c r="F6" s="36"/>
      <x:c r="G6" s="36"/>
      <x:c r="H6" s="36"/>
      <x:c r="I6" s="36"/>
      <x:c r="J6" s="36"/>
      <x:c r="K6" s="36"/>
    </x:row>
    <x:row r="7">
      <x:c r="A7" s="38" t="str">
        <x:v>待人工</x:v>
      </x:c>
      <x:c r="B7" s="50" t="n">
        <x:f>COUNTIF('复核明细'!$C$2:$C$501,"pending")</x:f>
        <x:v>0</x:v>
      </x:c>
      <x:c r="C7" s="36"/>
      <x:c r="D7" s="36"/>
      <x:c r="E7" s="36"/>
      <x:c r="F7" s="36"/>
      <x:c r="G7" s="36"/>
      <x:c r="H7" s="36"/>
      <x:c r="I7" s="36"/>
      <x:c r="J7" s="36"/>
      <x:c r="K7" s="36"/>
    </x:row>
    <x:row r="8">
      <x:c r="A8" s="38" t="str">
        <x:v>真实人工批准</x:v>
      </x:c>
      <x:c r="B8" s="50" t="n">
        <x:f>COUNTIF('复核明细'!$C$2:$C$501,"approved")</x:f>
        <x:v>0</x:v>
      </x:c>
      <x:c r="C8" s="36"/>
      <x:c r="D8" s="36"/>
      <x:c r="E8" s="36"/>
      <x:c r="F8" s="36"/>
      <x:c r="G8" s="36"/>
      <x:c r="H8" s="36"/>
      <x:c r="I8" s="36"/>
      <x:c r="J8" s="36"/>
      <x:c r="K8" s="36"/>
    </x:row>
    <x:row r="9">
      <x:c r="A9" s="38" t="str">
        <x:v>终止样本</x:v>
      </x:c>
      <x:c r="B9" s="50" t="n">
        <x:f>COUNTIF('复核明细'!$Z$2:$Z$501,1)</x:f>
        <x:v>500</x:v>
      </x:c>
      <x:c r="C9" s="36"/>
      <x:c r="D9" s="36"/>
      <x:c r="E9" s="36"/>
      <x:c r="F9" s="36"/>
      <x:c r="G9" s="36"/>
      <x:c r="H9" s="36"/>
      <x:c r="I9" s="36"/>
      <x:c r="J9" s="36"/>
      <x:c r="K9" s="36"/>
    </x:row>
    <x:row r="10">
      <x:c r="A10" s="38" t="str">
        <x:v>严重失败样本</x:v>
      </x:c>
      <x:c r="B10" s="50" t="n">
        <x:f>COUNTIF('复核明细'!$X$2:$X$501,1)</x:f>
        <x:v>500</x:v>
      </x:c>
      <x:c r="C10" s="36"/>
      <x:c r="D10" s="36"/>
      <x:c r="E10" s="36"/>
      <x:c r="F10" s="36"/>
      <x:c r="G10" s="36"/>
      <x:c r="H10" s="36"/>
      <x:c r="I10" s="36"/>
      <x:c r="J10" s="36"/>
      <x:c r="K10" s="36"/>
    </x:row>
    <x:row r="11">
      <x:c r="A11" s="38" t="str">
        <x:v>唯一原始匹配</x:v>
      </x:c>
      <x:c r="B11" s="50" t="n">
        <x:f>COUNTA('复核明细'!$B$2:$B$501)</x:f>
        <x:v>500</x:v>
      </x:c>
      <x:c r="C11" s="36"/>
      <x:c r="D11" s="36"/>
      <x:c r="E11" s="36"/>
      <x:c r="F11" s="36"/>
      <x:c r="G11" s="36"/>
      <x:c r="H11" s="36"/>
      <x:c r="I11" s="36"/>
      <x:c r="J11" s="36"/>
      <x:c r="K11" s="36"/>
    </x:row>
    <x:row r="12">
      <x:c r="A12" s="36"/>
      <x:c r="B12" s="36"/>
      <x:c r="C12" s="36"/>
      <x:c r="D12" s="36"/>
      <x:c r="E12" s="36"/>
      <x:c r="F12" s="36"/>
      <x:c r="G12" s="36"/>
      <x:c r="H12" s="36"/>
      <x:c r="I12" s="36"/>
      <x:c r="J12" s="36"/>
      <x:c r="K12" s="36"/>
    </x:row>
    <x:row r="13">
      <x:c r="A13" s="36"/>
      <x:c r="B13" s="36"/>
      <x:c r="C13" s="36"/>
      <x:c r="D13" s="36"/>
      <x:c r="E13" s="36"/>
      <x:c r="F13" s="36"/>
      <x:c r="G13" s="36"/>
      <x:c r="H13" s="36"/>
      <x:c r="I13" s="36"/>
      <x:c r="J13" s="36"/>
      <x:c r="K13" s="36"/>
    </x:row>
    <x:row r="14">
      <x:c r="A14" s="58" t="str">
        <x:v>环境</x:v>
      </x:c>
      <x:c r="B14" s="58" t="str">
        <x:v>复核条数</x:v>
      </x:c>
      <x:c r="C14" s="36"/>
      <x:c r="D14" s="36"/>
      <x:c r="E14" s="36"/>
      <x:c r="F14" s="36"/>
      <x:c r="G14" s="36"/>
      <x:c r="H14" s="36"/>
      <x:c r="I14" s="36"/>
      <x:c r="J14" s="36"/>
      <x:c r="K14" s="36"/>
    </x:row>
    <x:row r="15">
      <x:c r="A15" s="54" t="str">
        <x:v>click-widget</x:v>
      </x:c>
      <x:c r="B15" s="54" t="n">
        <x:f>COUNTIF('复核明细'!$H$2:$H$501,"browsergym/miniwob.click-widget")</x:f>
        <x:v>68</x:v>
      </x:c>
      <x:c r="C15" s="36"/>
      <x:c r="D15" s="36"/>
      <x:c r="E15" s="36"/>
      <x:c r="F15" s="36"/>
      <x:c r="G15" s="36"/>
      <x:c r="H15" s="36"/>
      <x:c r="I15" s="36"/>
      <x:c r="J15" s="36"/>
      <x:c r="K15" s="36"/>
    </x:row>
    <x:row r="16">
      <x:c r="A16" s="54" t="str">
        <x:v>choose-list</x:v>
      </x:c>
      <x:c r="B16" s="54" t="n">
        <x:f>COUNTIF('复核明细'!$H$2:$H$501,"browsergym/miniwob.choose-list")</x:f>
        <x:v>61</x:v>
      </x:c>
      <x:c r="C16" s="36"/>
      <x:c r="D16" s="36"/>
      <x:c r="E16" s="36"/>
      <x:c r="F16" s="36"/>
      <x:c r="G16" s="36"/>
      <x:c r="H16" s="36"/>
      <x:c r="I16" s="36"/>
      <x:c r="J16" s="36"/>
      <x:c r="K16" s="36"/>
    </x:row>
    <x:row r="17">
      <x:c r="A17" s="54" t="str">
        <x:v>click-menu</x:v>
      </x:c>
      <x:c r="B17" s="54" t="n">
        <x:f>COUNTIF('复核明细'!$H$2:$H$501,"browsergym/miniwob.click-menu")</x:f>
        <x:v>53</x:v>
      </x:c>
      <x:c r="C17" s="36"/>
      <x:c r="D17" s="36"/>
      <x:c r="E17" s="36"/>
      <x:c r="F17" s="36"/>
      <x:c r="G17" s="36"/>
      <x:c r="H17" s="36"/>
      <x:c r="I17" s="36"/>
      <x:c r="J17" s="36"/>
      <x:c r="K17" s="36"/>
    </x:row>
    <x:row r="18">
      <x:c r="A18" s="54" t="str">
        <x:v>click-dialog-2</x:v>
      </x:c>
      <x:c r="B18" s="54" t="n">
        <x:f>COUNTIF('复核明细'!$H$2:$H$501,"browsergym/miniwob.click-dialog-2")</x:f>
        <x:v>36</x:v>
      </x:c>
      <x:c r="C18" s="36"/>
      <x:c r="D18" s="36"/>
      <x:c r="E18" s="36"/>
      <x:c r="F18" s="36"/>
      <x:c r="G18" s="36"/>
      <x:c r="H18" s="36"/>
      <x:c r="I18" s="36"/>
      <x:c r="J18" s="36"/>
      <x:c r="K18" s="36"/>
    </x:row>
    <x:row r="19">
      <x:c r="A19" s="54" t="str">
        <x:v>scroll-text</x:v>
      </x:c>
      <x:c r="B19" s="54" t="n">
        <x:f>COUNTIF('复核明细'!$H$2:$H$501,"browsergym/miniwob.scroll-text")</x:f>
        <x:v>26</x:v>
      </x:c>
      <x:c r="C19" s="36"/>
      <x:c r="D19" s="36"/>
      <x:c r="E19" s="36"/>
      <x:c r="F19" s="36"/>
      <x:c r="G19" s="36"/>
      <x:c r="H19" s="36"/>
      <x:c r="I19" s="36"/>
      <x:c r="J19" s="36"/>
      <x:c r="K19" s="36"/>
    </x:row>
    <x:row r="20">
      <x:c r="A20" s="54" t="str">
        <x:v>enter-text-dynamic</x:v>
      </x:c>
      <x:c r="B20" s="54" t="n">
        <x:f>COUNTIF('复核明细'!$H$2:$H$501,"browsergym/miniwob.enter-text-dynamic")</x:f>
        <x:v>26</x:v>
      </x:c>
      <x:c r="C20" s="36"/>
      <x:c r="D20" s="36"/>
      <x:c r="E20" s="36"/>
      <x:c r="F20" s="36"/>
      <x:c r="G20" s="36"/>
      <x:c r="H20" s="36"/>
      <x:c r="I20" s="36"/>
      <x:c r="J20" s="36"/>
      <x:c r="K20" s="36"/>
    </x:row>
    <x:row r="21">
      <x:c r="A21" s="54" t="str">
        <x:v>enter-text</x:v>
      </x:c>
      <x:c r="B21" s="54" t="n">
        <x:f>COUNTIF('复核明细'!$H$2:$H$501,"browsergym/miniwob.enter-text")</x:f>
        <x:v>25</x:v>
      </x:c>
      <x:c r="C21" s="36"/>
      <x:c r="D21" s="58" t="str">
        <x:v>干预类型</x:v>
      </x:c>
      <x:c r="E21" s="58" t="str">
        <x:v>条数</x:v>
      </x:c>
      <x:c r="F21" s="36"/>
      <x:c r="G21" s="36"/>
      <x:c r="H21" s="36"/>
      <x:c r="I21" s="36"/>
      <x:c r="J21" s="36"/>
      <x:c r="K21" s="36"/>
    </x:row>
    <x:row r="22">
      <x:c r="A22" s="54" t="str">
        <x:v>click-test-2</x:v>
      </x:c>
      <x:c r="B22" s="54" t="n">
        <x:f>COUNTIF('复核明细'!$H$2:$H$501,"browsergym/miniwob.click-test-2")</x:f>
        <x:v>24</x:v>
      </x:c>
      <x:c r="C22" s="36"/>
      <x:c r="D22" s="54" t="str">
        <x:v>hard_wrong_target</x:v>
      </x:c>
      <x:c r="E22" s="54" t="n">
        <x:v>376</x:v>
      </x:c>
      <x:c r="F22" s="36"/>
      <x:c r="G22" s="36"/>
      <x:c r="H22" s="36"/>
      <x:c r="I22" s="36"/>
      <x:c r="J22" s="36"/>
      <x:c r="K22" s="36"/>
    </x:row>
    <x:row r="23">
      <x:c r="A23" s="54" t="str">
        <x:v>click-collapsible</x:v>
      </x:c>
      <x:c r="B23" s="54" t="n">
        <x:f>COUNTIF('复核明细'!$H$2:$H$501,"browsergym/miniwob.click-collapsible")</x:f>
        <x:v>23</x:v>
      </x:c>
      <x:c r="C23" s="36"/>
      <x:c r="D23" s="54" t="str">
        <x:v>missing_target</x:v>
      </x:c>
      <x:c r="E23" s="54" t="n">
        <x:v>55</x:v>
      </x:c>
      <x:c r="F23" s="36"/>
      <x:c r="G23" s="36"/>
      <x:c r="H23" s="36"/>
      <x:c r="I23" s="36"/>
      <x:c r="J23" s="36"/>
      <x:c r="K23" s="36"/>
    </x:row>
    <x:row r="24">
      <x:c r="A24" s="54" t="str">
        <x:v>enter-password</x:v>
      </x:c>
      <x:c r="B24" s="54" t="n">
        <x:f>COUNTIF('复核明细'!$H$2:$H$501,"browsergym/miniwob.enter-password")</x:f>
        <x:v>23</x:v>
      </x:c>
      <x:c r="C24" s="36"/>
      <x:c r="D24" s="54" t="str">
        <x:v>wrong_action_type</x:v>
      </x:c>
      <x:c r="E24" s="54" t="n">
        <x:v>69</x:v>
      </x:c>
      <x:c r="F24" s="36"/>
      <x:c r="G24" s="36"/>
      <x:c r="H24" s="36"/>
      <x:c r="I24" s="36"/>
      <x:c r="J24" s="36"/>
      <x:c r="K24" s="36"/>
    </x:row>
    <x:row r="25">
      <x:c r="A25" s="54" t="str">
        <x:v>click-tab</x:v>
      </x:c>
      <x:c r="B25" s="54" t="n">
        <x:f>COUNTIF('复核明细'!$H$2:$H$501,"browsergym/miniwob.click-tab")</x:f>
        <x:v>21</x:v>
      </x:c>
      <x:c r="C25" s="36"/>
      <x:c r="D25" s="36"/>
      <x:c r="E25" s="36"/>
      <x:c r="F25" s="36"/>
      <x:c r="G25" s="36"/>
      <x:c r="H25" s="36"/>
      <x:c r="I25" s="36"/>
      <x:c r="J25" s="36"/>
      <x:c r="K25" s="36"/>
    </x:row>
    <x:row r="26">
      <x:c r="A26" s="54" t="str">
        <x:v>enter-text-2</x:v>
      </x:c>
      <x:c r="B26" s="54" t="n">
        <x:f>COUNTIF('复核明细'!$H$2:$H$501,"browsergym/miniwob.enter-text-2")</x:f>
        <x:v>21</x:v>
      </x:c>
      <x:c r="C26" s="36"/>
      <x:c r="D26" s="36"/>
      <x:c r="E26" s="36"/>
      <x:c r="F26" s="36"/>
      <x:c r="G26" s="36"/>
      <x:c r="H26" s="36"/>
      <x:c r="I26" s="36"/>
      <x:c r="J26" s="36"/>
      <x:c r="K26" s="36"/>
    </x:row>
    <x:row r="27">
      <x:c r="A27" s="54" t="str">
        <x:v>scroll-text-2</x:v>
      </x:c>
      <x:c r="B27" s="54" t="n">
        <x:f>COUNTIF('复核明细'!$H$2:$H$501,"browsergym/miniwob.scroll-text-2")</x:f>
        <x:v>21</x:v>
      </x:c>
      <x:c r="C27" s="36"/>
      <x:c r="D27" s="98" t="str">
        <x:v>结论：这 500 条记录已通过可复现的环境证据核验，可作为 evidence_verified 数据使用；但它们尚未由真实人员签字，因此不能写成 human_verified。若需要正式人工复核，请在“复核明细”中抽检/修改标签，将状态改为 approved，并填写真实审核人。</x:v>
      </x:c>
      <x:c r="E27" s="99"/>
      <x:c r="F27" s="99"/>
      <x:c r="G27" s="99"/>
      <x:c r="H27" s="99"/>
      <x:c r="I27" s="99"/>
      <x:c r="J27" s="99"/>
      <x:c r="K27" s="100"/>
    </x:row>
    <x:row r="28">
      <x:c r="A28" s="54" t="str">
        <x:v>click-checkboxes-soft</x:v>
      </x:c>
      <x:c r="B28" s="54" t="n">
        <x:f>COUNTIF('复核明细'!$H$2:$H$501,"browsergym/miniwob.click-checkboxes-soft")</x:f>
        <x:v>20</x:v>
      </x:c>
      <x:c r="C28" s="36"/>
      <x:c r="D28" s="101"/>
      <x:c r="E28" s="102"/>
      <x:c r="F28" s="102"/>
      <x:c r="G28" s="102"/>
      <x:c r="H28" s="102"/>
      <x:c r="I28" s="102"/>
      <x:c r="J28" s="102"/>
      <x:c r="K28" s="103"/>
    </x:row>
    <x:row r="29">
      <x:c r="A29" s="54" t="str">
        <x:v>login-user</x:v>
      </x:c>
      <x:c r="B29" s="54" t="n">
        <x:f>COUNTIF('复核明细'!$H$2:$H$501,"browsergym/miniwob.login-user")</x:f>
        <x:v>20</x:v>
      </x:c>
      <x:c r="C29" s="36"/>
      <x:c r="D29" s="101"/>
      <x:c r="E29" s="102"/>
      <x:c r="F29" s="102"/>
      <x:c r="G29" s="102"/>
      <x:c r="H29" s="102"/>
      <x:c r="I29" s="102"/>
      <x:c r="J29" s="102"/>
      <x:c r="K29" s="103"/>
    </x:row>
    <x:row r="30">
      <x:c r="A30" s="54" t="str">
        <x:v>click-button</x:v>
      </x:c>
      <x:c r="B30" s="54" t="n">
        <x:f>COUNTIF('复核明细'!$H$2:$H$501,"browsergym/miniwob.click-button")</x:f>
        <x:v>13</x:v>
      </x:c>
      <x:c r="C30" s="36"/>
      <x:c r="D30" s="104"/>
      <x:c r="E30" s="105"/>
      <x:c r="F30" s="105"/>
      <x:c r="G30" s="105"/>
      <x:c r="H30" s="105"/>
      <x:c r="I30" s="105"/>
      <x:c r="J30" s="105"/>
      <x:c r="K30" s="106"/>
    </x:row>
    <x:row r="31">
      <x:c r="A31" s="54" t="str">
        <x:v>sign-agreement</x:v>
      </x:c>
      <x:c r="B31" s="54" t="n">
        <x:f>COUNTIF('复核明细'!$H$2:$H$501,"browsergym/miniwob.sign-agreement")</x:f>
        <x:v>9</x:v>
      </x:c>
      <x:c r="C31" s="36"/>
      <x:c r="D31" s="36"/>
      <x:c r="E31" s="36"/>
      <x:c r="F31" s="36"/>
      <x:c r="G31" s="36"/>
      <x:c r="H31" s="36"/>
      <x:c r="I31" s="36"/>
      <x:c r="J31" s="36"/>
      <x:c r="K31" s="36"/>
    </x:row>
    <x:row r="32">
      <x:c r="A32" s="54" t="str">
        <x:v>click-scroll-list</x:v>
      </x:c>
      <x:c r="B32" s="54" t="n">
        <x:f>COUNTIF('复核明细'!$H$2:$H$501,"browsergym/miniwob.click-scroll-list")</x:f>
        <x:v>5</x:v>
      </x:c>
      <x:c r="C32" s="36"/>
      <x:c r="D32" s="36"/>
      <x:c r="E32" s="36"/>
      <x:c r="F32" s="36"/>
      <x:c r="G32" s="36"/>
      <x:c r="H32" s="36"/>
      <x:c r="I32" s="36"/>
      <x:c r="J32" s="36"/>
      <x:c r="K32" s="36"/>
    </x:row>
    <x:row r="33">
      <x:c r="A33" s="54" t="str">
        <x:v>click-option</x:v>
      </x:c>
      <x:c r="B33" s="54" t="n">
        <x:f>COUNTIF('复核明细'!$H$2:$H$501,"browsergym/miniwob.click-option")</x:f>
        <x:v>3</x:v>
      </x:c>
      <x:c r="C33" s="36"/>
      <x:c r="D33" s="36"/>
      <x:c r="E33" s="36"/>
      <x:c r="F33" s="36"/>
      <x:c r="G33" s="36"/>
      <x:c r="H33" s="36"/>
      <x:c r="I33" s="36"/>
      <x:c r="J33" s="36"/>
      <x:c r="K33" s="36"/>
    </x:row>
    <x:row r="34">
      <x:c r="A34" s="54" t="str">
        <x:v>click-checkboxes</x:v>
      </x:c>
      <x:c r="B34" s="54" t="n">
        <x:f>COUNTIF('复核明细'!$H$2:$H$501,"browsergym/miniwob.click-checkboxes")</x:f>
        <x:v>2</x:v>
      </x:c>
      <x:c r="C34" s="36"/>
      <x:c r="D34" s="36"/>
      <x:c r="E34" s="36"/>
      <x:c r="F34" s="36"/>
      <x:c r="G34" s="36"/>
      <x:c r="H34" s="36"/>
      <x:c r="I34" s="36"/>
      <x:c r="J34" s="36"/>
      <x:c r="K34" s="36"/>
    </x:row>
    <x:row r="35">
      <x:c r="A35" s="36"/>
      <x:c r="B35" s="36"/>
      <x:c r="C35" s="36"/>
      <x:c r="D35" s="36"/>
      <x:c r="E35" s="36"/>
      <x:c r="F35" s="36"/>
      <x:c r="G35" s="36"/>
      <x:c r="H35" s="36"/>
      <x:c r="I35" s="36"/>
      <x:c r="J35" s="36"/>
      <x:c r="K35" s="36"/>
    </x:row>
  </x:sheetData>
  <x:mergeCells>
    <x:mergeCell ref="A1:K1"/>
    <x:mergeCell ref="A2:K2"/>
    <x:mergeCell ref="D27:K30"/>
  </x:mergeCells>
  <x:pageMargins left="0.7" right="0.7" top="0.75" bottom="0.75" header="0.3" footer="0.3"/>
  <x:drawing xmlns:r="http://schemas.openxmlformats.org/officeDocument/2006/relationships" r:id="R7c4103dab3c24096"/>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66" hidden="0" customWidth="1"/>
    <x:col min="4" max="4" width="14" hidden="0" customWidth="1"/>
    <x:col min="5" max="5" width="14" hidden="0" customWidth="1"/>
    <x:col min="6" max="6" width="14" hidden="0" customWidth="1"/>
    <x:col min="7" max="7" width="14" hidden="0" customWidth="1"/>
    <x:col min="8" max="8" width="14" hidden="0" customWidth="1"/>
  </x:cols>
  <x:sheetData>
    <x:row r="1" ht="42" customHeight="1">
      <x:c r="A1" s="26" t="str">
        <x:v>证据复核协议与人工签字说明</x:v>
      </x:c>
      <x:c r="B1" s="26"/>
      <x:c r="C1" s="26"/>
      <x:c r="D1" s="26"/>
      <x:c r="E1" s="26"/>
      <x:c r="F1" s="26"/>
      <x:c r="G1" s="26"/>
      <x:c r="H1" s="26"/>
    </x:row>
    <x:row r="3">
      <x:c r="A3" s="120" t="str">
        <x:v>项目</x:v>
      </x:c>
      <x:c r="B3" s="120" t="str">
        <x:v>说明</x:v>
      </x:c>
    </x:row>
    <x:row r="4">
      <x:c r="A4" s="116" t="str">
        <x:v>复核方法</x:v>
      </x:c>
      <x:c r="B4" s="116" t="str">
        <x:v>codex_evidence_review_v1</x:v>
      </x:c>
    </x:row>
    <x:row r="5">
      <x:c r="A5" s="116" t="str">
        <x:v>复核对象</x:v>
      </x:c>
      <x:c r="B5" s="116" t="str">
        <x:v>阶段二高风险、严重失败、终止的反事实轨迹</x:v>
      </x:c>
    </x:row>
    <x:row r="6">
      <x:c r="A6" s="116" t="str">
        <x:v>复核规模</x:v>
      </x:c>
      <x:c r="B6" s="116" t="str">
        <x:v>500 条</x:v>
      </x:c>
    </x:row>
    <x:row r="7">
      <x:c r="A7" s="116" t="str">
        <x:v>证据通过</x:v>
      </x:c>
      <x:c r="B7" s="116" t="str">
        <x:v>500 条</x:v>
      </x:c>
    </x:row>
    <x:row r="8">
      <x:c r="A8" s="116" t="str">
        <x:v>人工签字</x:v>
      </x:c>
      <x:c r="B8" s="116" t="str">
        <x:v>否（human_signoff=false）</x:v>
      </x:c>
    </x:row>
    <x:row r="10">
      <x:c r="A10" s="126" t="str">
        <x:v>序号</x:v>
      </x:c>
      <x:c r="B10" s="126" t="str">
        <x:v>自动证据门槛</x:v>
      </x:c>
      <x:c r="C10" s="126" t="str">
        <x:v>含义</x:v>
      </x:c>
    </x:row>
    <x:row r="11">
      <x:c r="A11" s="122" t="n">
        <x:v>1</x:v>
      </x:c>
      <x:c r="B11" s="122" t="str">
        <x:v>唯一原始匹配</x:v>
      </x:c>
      <x:c r="C11" s="122" t="str">
        <x:v>example_id 在 13,348 条原始转移中恰好匹配 1 条</x:v>
      </x:c>
    </x:row>
    <x:row r="12">
      <x:c r="A12" s="122" t="n">
        <x:v>2</x:v>
      </x:c>
      <x:c r="B12" s="122" t="str">
        <x:v>环境实测</x:v>
      </x:c>
      <x:c r="C12" s="122" t="str">
        <x:v>metadata.observed_in_environment=true</x:v>
      </x:c>
    </x:row>
    <x:row r="13">
      <x:c r="A13" s="122" t="n">
        <x:v>3</x:v>
      </x:c>
      <x:c r="B13" s="122" t="str">
        <x:v>反事实可追踪</x:v>
      </x:c>
      <x:c r="C13" s="122" t="str">
        <x:v>counterfactual_pair_id 非空</x:v>
      </x:c>
    </x:row>
    <x:row r="14">
      <x:c r="A14" s="122" t="n">
        <x:v>4</x:v>
      </x:c>
      <x:c r="B14" s="122" t="str">
        <x:v>终止结果</x:v>
      </x:c>
      <x:c r="C14" s="122" t="str">
        <x:v>done/terminal=true，非中途截断</x:v>
      </x:c>
    </x:row>
    <x:row r="15">
      <x:c r="A15" s="122" t="n">
        <x:v>5</x:v>
      </x:c>
      <x:c r="B15" s="122" t="str">
        <x:v>任务未成功</x:v>
      </x:c>
      <x:c r="C15" s="122" t="str">
        <x:v>task_success=false</x:v>
      </x:c>
    </x:row>
    <x:row r="16">
      <x:c r="A16" s="122" t="n">
        <x:v>6</x:v>
      </x:c>
      <x:c r="B16" s="122" t="str">
        <x:v>奖励非正</x:v>
      </x:c>
      <x:c r="C16" s="122" t="str">
        <x:v>reward&lt;=0</x:v>
      </x:c>
    </x:row>
    <x:row r="17">
      <x:c r="A17" s="122" t="n">
        <x:v>7</x:v>
      </x:c>
      <x:c r="B17" s="122" t="str">
        <x:v>严重失败一致</x:v>
      </x:c>
      <x:c r="C17" s="122" t="str">
        <x:v>terminal 非成功且奖励非正，符合派生规则</x:v>
      </x:c>
    </x:row>
    <x:row r="18">
      <x:c r="A18" s="122" t="n">
        <x:v>8</x:v>
      </x:c>
      <x:c r="B18" s="122" t="str">
        <x:v>队列标签一致</x:v>
      </x:c>
      <x:c r="C18" s="122" t="str">
        <x:v>CSV 标签与原始结果派生标签完全一致</x:v>
      </x:c>
    </x:row>
    <x:row r="20">
      <x:c r="A20" s="166" t="str">
        <x:v>人工复核操作：在“复核明细”中查看 state/action/next_state，必要时修改 7 个标签字段；填写真实 reviewer 与 reviewed_at_utc，把 review_status 改为 approved。系统只会把这种记录标为 human_verified。保持 evidence_approved 则继续标为 evidence_verified。</x:v>
      </x:c>
      <x:c r="B20" s="167"/>
      <x:c r="C20" s="167"/>
      <x:c r="D20" s="167"/>
      <x:c r="E20" s="167"/>
      <x:c r="F20" s="167"/>
      <x:c r="G20" s="167"/>
      <x:c r="H20" s="168"/>
    </x:row>
    <x:row r="21">
      <x:c r="A21" s="169"/>
      <x:c r="B21" s="170"/>
      <x:c r="C21" s="170"/>
      <x:c r="D21" s="170"/>
      <x:c r="E21" s="170"/>
      <x:c r="F21" s="170"/>
      <x:c r="G21" s="170"/>
      <x:c r="H21" s="171"/>
    </x:row>
    <x:row r="22">
      <x:c r="A22" s="169"/>
      <x:c r="B22" s="170"/>
      <x:c r="C22" s="170"/>
      <x:c r="D22" s="170"/>
      <x:c r="E22" s="170"/>
      <x:c r="F22" s="170"/>
      <x:c r="G22" s="170"/>
      <x:c r="H22" s="171"/>
    </x:row>
    <x:row r="23">
      <x:c r="A23" s="172"/>
      <x:c r="B23" s="173"/>
      <x:c r="C23" s="173"/>
      <x:c r="D23" s="173"/>
      <x:c r="E23" s="173"/>
      <x:c r="F23" s="173"/>
      <x:c r="G23" s="173"/>
      <x:c r="H23" s="174"/>
    </x:row>
  </x:sheetData>
  <x:mergeCells>
    <x:mergeCell ref="A1:H1"/>
    <x:mergeCell ref="A20:H23"/>
  </x:mergeCells>
  <x:pageMargins left="0.7" right="0.7" top="0.75" bottom="0.75" header="0.3" footer="0.3"/>
</x:worksheet>
</file>